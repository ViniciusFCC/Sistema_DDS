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6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7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TUP" sheetId="2" state="visible" r:id="rId2"/>
    <sheet xmlns:r="http://schemas.openxmlformats.org/officeDocument/2006/relationships" name="02_REQUIREMENTS" sheetId="3" state="visible" r:id="rId3"/>
    <sheet xmlns:r="http://schemas.openxmlformats.org/officeDocument/2006/relationships" name="03_TARGETS" sheetId="4" state="visible" r:id="rId4"/>
    <sheet xmlns:r="http://schemas.openxmlformats.org/officeDocument/2006/relationships" name="04_DECISION_REGISTER" sheetId="5" state="visible" r:id="rId5"/>
    <sheet xmlns:r="http://schemas.openxmlformats.org/officeDocument/2006/relationships" name="05_VEHICLE" sheetId="6" state="visible" r:id="rId6"/>
    <sheet xmlns:r="http://schemas.openxmlformats.org/officeDocument/2006/relationships" name="06_SUSPENSION" sheetId="7" state="visible" r:id="rId7"/>
    <sheet xmlns:r="http://schemas.openxmlformats.org/officeDocument/2006/relationships" name="07_KINEMATICS" sheetId="8" state="visible" r:id="rId8"/>
    <sheet xmlns:r="http://schemas.openxmlformats.org/officeDocument/2006/relationships" name="08_VEHICLE_STATE" sheetId="9" state="visible" r:id="rId9"/>
    <sheet xmlns:r="http://schemas.openxmlformats.org/officeDocument/2006/relationships" name="09_LOADS" sheetId="10" state="visible" r:id="rId10"/>
    <sheet xmlns:r="http://schemas.openxmlformats.org/officeDocument/2006/relationships" name="10_TIRE" sheetId="11" state="visible" r:id="rId11"/>
    <sheet xmlns:r="http://schemas.openxmlformats.org/officeDocument/2006/relationships" name="11_DESIGN" sheetId="12" state="visible" r:id="rId12"/>
    <sheet xmlns:r="http://schemas.openxmlformats.org/officeDocument/2006/relationships" name="12_COMPARISON" sheetId="13" state="visible" r:id="rId13"/>
    <sheet xmlns:r="http://schemas.openxmlformats.org/officeDocument/2006/relationships" name="13_VALIDATION" sheetId="14" state="visible" r:id="rId14"/>
    <sheet xmlns:r="http://schemas.openxmlformats.org/officeDocument/2006/relationships" name="14_DASHBOARD" sheetId="15" state="visible" r:id="rId15"/>
    <sheet xmlns:r="http://schemas.openxmlformats.org/officeDocument/2006/relationships" name="15_CHANGELOG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</font>
    <font>
      <name val="Arial"/>
      <color rgb="00007A5E"/>
      <sz val="10"/>
    </font>
    <font>
      <name val="Arial"/>
      <b val="1"/>
      <color rgb="00C55A11"/>
      <sz val="10"/>
    </font>
    <font>
      <name val="Arial"/>
      <color rgb="00000000"/>
      <sz val="10"/>
    </font>
    <font>
      <name val="Arial"/>
      <i val="1"/>
      <color rgb="00808080"/>
      <sz val="9"/>
    </font>
    <font>
      <name val="Arial"/>
      <i val="1"/>
      <color rgb="00808080"/>
      <sz val="10"/>
    </font>
    <font>
      <name val="Arial"/>
      <i val="1"/>
      <sz val="9"/>
    </font>
    <font>
      <name val="Arial"/>
      <i val="1"/>
      <color rgb="00C55A1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0" borderId="1" pivotButton="0" quotePrefix="0" xfId="0"/>
    <xf numFmtId="0" fontId="9" fillId="0" borderId="0" pivotButton="0" quotePrefix="0" xfId="0"/>
    <xf numFmtId="0" fontId="7" fillId="4" borderId="1" pivotButton="0" quotePrefix="0" xfId="0"/>
    <xf numFmtId="0" fontId="4" fillId="0" borderId="1" applyAlignment="1" pivotButton="0" quotePrefix="0" xfId="0">
      <alignment vertical="top" wrapText="1"/>
    </xf>
    <xf numFmtId="0" fontId="1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164" fontId="5" fillId="0" borderId="1" pivotButton="0" quotePrefix="0" xfId="0"/>
    <xf numFmtId="164" fontId="6" fillId="0" borderId="1" pivotButton="0" quotePrefix="0" xfId="0"/>
    <xf numFmtId="0" fontId="11" fillId="0" borderId="0" pivotButton="0" quotePrefix="0" xfId="0"/>
    <xf numFmtId="165" fontId="8" fillId="0" borderId="0" pivotButton="0" quotePrefix="0" xfId="0"/>
    <xf numFmtId="164" fontId="5" fillId="5" borderId="1" pivotButton="0" quotePrefix="0" xfId="0"/>
    <xf numFmtId="164" fontId="8" fillId="6" borderId="1" pivotButton="0" quotePrefix="0" xfId="0"/>
    <xf numFmtId="164" fontId="7" fillId="4" borderId="1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omments/comment1.xml><?xml version="1.0" encoding="utf-8"?>
<comments xmlns="http://schemas.openxmlformats.org/spreadsheetml/2006/main">
  <authors>
    <author>Engineering Standard v0.1</author>
  </authors>
  <commentList>
    <comment ref="B4" authorId="0" shapeId="0">
      <text>
        <t>Identificador único do setup (namespace de Setup, ver arquitetura seção 8).</t>
      </text>
    </comment>
  </commentList>
</comments>
</file>

<file path=xl/comments/comment2.xml><?xml version="1.0" encoding="utf-8"?>
<comments xmlns="http://schemas.openxmlformats.org/spreadsheetml/2006/main">
  <authors>
    <author>Engineering Standard v0.1</author>
  </authors>
  <commentList>
    <comment ref="B4" authorId="0" shapeId="0">
      <text>
        <t>Fonte: adesivo SAE Brasil 2026 - medicao real (248.5 kg sem piloto) + 68 kg de piloto (referencia padrao FSAE, nao medida).</t>
      </text>
    </comment>
    <comment ref="B5" authorId="0" shapeId="0">
      <text>
        <t>Fonte: E05 (315mm, Key Parameters). Medida a partir do plano do solo (SUS-000), nao da origem do CAD.</t>
      </text>
    </comment>
    <comment ref="B6" authorId="0" shapeId="0">
      <text>
        <t>Fonte: E05 (1594mm, Key Parameters). Diverge do E03 (1550mm, chassi anterior).</t>
      </text>
    </comment>
    <comment ref="B7" authorId="0" shapeId="0">
      <text>
        <t>Fonte: E05 (1277mm, Key Parameters).</t>
      </text>
    </comment>
    <comment ref="B8" authorId="0" shapeId="0">
      <text>
        <t>Fonte: E05 (1271mm, Key Parameters).</t>
      </text>
    </comment>
    <comment ref="B9" authorId="0" shapeId="0">
      <text>
        <t>Derivado da distribuicao real medida no adesivo TX/E05 (48.43% dianteira, COM piloto) x wheelbase - consistente com mass_total (que inclui piloto).</t>
      </text>
    </comment>
    <comment ref="B10" authorId="0" shapeId="0">
      <text>
        <t>Derivado da distribuicao real medida no adesivo TX/E05 (51.57% traseira, COM piloto) x wheelbase.</t>
      </text>
    </comment>
    <comment ref="B14" authorId="0" shapeId="0">
      <text>
        <t>NAO DISPONIVEL para o TX/E05 (confirmado pela equipe: pesagem em plataforma mede carga total no solo, nao separa massa suspensa/nao-suspensa). Valor abaixo e ARBITRARIO - nao usar para decisao de projeto.</t>
      </text>
    </comment>
    <comment ref="B15" authorId="0" shapeId="0">
      <text>
        <t>NAO DISPONIVEL para o TX/E05 (mesma razao do SUS-007). Valor abaixo e ARBITRARIO - nao usar para decisao de projeto.</t>
      </text>
    </comment>
    <comment ref="B16" authorId="0" shapeId="0">
      <text>
        <t>Estimativa pelo raio do pneu 20.0-13 (E03, diametro 20.0in/2=0.254m). NAO e medicao real da equipe.</t>
      </text>
    </comment>
    <comment ref="B17" authorId="0" shapeId="0">
      <text>
        <t>Estimativa pelo raio do pneu 20.0-13 (E03, mesmo pneu dianteiro/traseiro). NAO e medicao real da equipe.</t>
      </text>
    </comment>
    <comment ref="B20" authorId="0" shapeId="0">
      <text>
        <t>SUS-000: coordenada Z do solo no sistema de coordenadas da equipe. Todas as alturas desta planilha já assumem conversão feita (medidas a partir do solo). Ver Engineering Standard, ficha SUS-000.</t>
      </text>
    </comment>
    <comment ref="B24" authorId="0" shapeId="0">
      <text>
        <t>h_s != h_CG total. Identidade de CG composto (verificada algebricamente na arquitetura, seção 17.4).</t>
      </text>
    </comment>
  </commentList>
</comments>
</file>

<file path=xl/comments/comment3.xml><?xml version="1.0" encoding="utf-8"?>
<comments xmlns="http://schemas.openxmlformats.org/spreadsheetml/2006/main">
  <authors>
    <author>Engineering Standard v0.1</author>
  </authors>
  <commentList>
    <comment ref="B4" authorId="0" shapeId="0">
      <text>
        <t>Back-calculado da planilha detalhada T09 ('Ride Rate' front=16112.23 N/m, confirmado ser exatamente o Wheel Rate) x MR=1.76. CORRIGE valor anterior (baseado no spec sheet resumido, que arredondava F/R como iguais).</t>
      </text>
    </comment>
    <comment ref="B5" authorId="0" shapeId="0">
      <text>
        <t>Back-calculado da planilha detalhada T09 ('Ride Rate' rear=18418.2 N/m) x MR=1.76.</t>
      </text>
    </comment>
    <comment ref="B6" authorId="0" shapeId="0">
      <text>
        <t>Fonte: E03 (1.76:1). Assumido como convencao wheel/spring (igual a nossa) - E03 nao especifica a direcao explicitamente.</t>
      </text>
    </comment>
    <comment ref="B7" authorId="0" shapeId="0">
      <text>
        <t>Fonte: E03 (1.76:1, mesmo valor da dianteira).</t>
      </text>
    </comment>
    <comment ref="B10" authorId="0" shapeId="0">
      <text>
        <t>Fonte: planilha detalhada T09 (AntiRoll Bar Rate front). Valor direto, ja nao e mais back-calculado - resolve a inconsistencia identificada anteriormente.</t>
      </text>
    </comment>
    <comment ref="B11" authorId="0" shapeId="0">
      <text>
        <t>Fonte: planilha detalhada T09 (AntiRoll Bar Rate rear, ~0, consistente com 'sem ARB' declarado). Inconsistencia anterior estava no Wheel Rate do spec sheet resumido, ja corrigida em SUS-203.</t>
      </text>
    </comment>
    <comment ref="B14" authorId="0" shapeId="0">
      <text>
        <t>Fonte: planilha detalhada T09 (0.0675m) - mais precisa que o spec sheet resumido do E03 (60mm, arredondado). PROVISORIO ate Fase 2 (OptimumKinematics).</t>
      </text>
    </comment>
    <comment ref="B15" authorId="0" shapeId="0">
      <text>
        <t>Fonte: E03 (110mm, Roll center height above ground static). PROVISORIO ate Fase 2 (OptimumKinematics).</t>
      </text>
    </comment>
    <comment ref="B20" authorId="0" shapeId="0">
      <text>
        <t>Componente so-mola, sem ARB. Mesma decomposicao ja verificada 7/7 no T09 Reference Case.</t>
      </text>
    </comment>
    <comment ref="B36" authorId="0" shapeId="0">
      <text>
        <t>PLACEHOLDER: fracao da forca de frenagem no eixo dianteiro (brake bias). Substituir pelo balanco de freio real do Setup.</t>
      </text>
    </comment>
    <comment ref="B37" authorId="0" shapeId="0">
      <text>
        <t>TF_r = 1 para RWD (hipotese congelada da V1). Revisitar se a equipe migrar para AWD.</t>
      </text>
    </comment>
    <comment ref="B40" authorId="0" shapeId="0">
      <text>
        <t>AD_f = FB_f * tan(phi_f) * (L/hCG) * 100. NAO altera a magnitude do load transfer longitudinal (SUS-102) - so descreve particao geometrica vs. elastica.</t>
      </text>
    </comment>
    <comment ref="B44" authorId="0" shapeId="0">
      <text>
        <t>PLACEHOLDER: razao entre angulo do volante e angulo medio das rodas dianteiras. Substituir por medicao real da cremalheira ou geometria do rack.</t>
      </text>
    </comment>
  </commentList>
</comments>
</file>

<file path=xl/comments/comment4.xml><?xml version="1.0" encoding="utf-8"?>
<comments xmlns="http://schemas.openxmlformats.org/spreadsheetml/2006/main">
  <authors>
    <author>Engineering Standard v0.1</author>
  </authors>
  <commentList>
    <comment ref="B7" authorId="0" shapeId="0">
      <text>
        <t>V1 usa apenas o KOP de ride height estatico. Curvas ao longo do curso (bump/rebound) ficam para Fase 2.</t>
      </text>
    </comment>
    <comment ref="B10" authorId="0" shapeId="0">
      <text>
        <t>PLACEHOLDER geometrico para teste de formula - NAO e hardpoint real. Fase 2: REFERENCE do OptimumKinematics.</t>
      </text>
    </comment>
    <comment ref="B31" authorId="0" shapeId="0">
      <text>
        <t>PLACEHOLDER geometrico - NAO e medicao real do curso instalado. Substituir pelo curso real (bump+rebound) com piloto sentado, conforme V.3.1.1.</t>
      </text>
    </comment>
  </commentList>
</comments>
</file>

<file path=xl/comments/comment5.xml><?xml version="1.0" encoding="utf-8"?>
<comments xmlns="http://schemas.openxmlformats.org/spreadsheetml/2006/main">
  <authors>
    <author>Engineering Standard v0.1</author>
  </authors>
  <commentList>
    <comment ref="B4" authorId="0" shapeId="0">
      <text>
        <t>ISO 8855: a_x positivo = aceleração para frente (transfere carga para o eixo traseiro). Negativo = frenagem.</t>
      </text>
    </comment>
    <comment ref="B5" authorId="0" shapeId="0">
      <text>
        <t>ISO 8855: a_y positivo = para a esquerda (lado direito do carro ganha carga).</t>
      </text>
    </comment>
  </commentList>
</comments>
</file>

<file path=xl/comments/comment6.xml><?xml version="1.0" encoding="utf-8"?>
<comments xmlns="http://schemas.openxmlformats.org/spreadsheetml/2006/main">
  <authors>
    <author>Engineering Standard v0.1</author>
  </authors>
  <commentList>
    <comment ref="B19" authorId="0" shapeId="0">
      <text>
        <t>Mantem K_phiR (traseira) fixo; resolve o K_phiF necessario para atingir o lambda_f alvo.</t>
      </text>
    </comment>
  </commentList>
</comments>
</file>

<file path=xl/comments/comment7.xml><?xml version="1.0" encoding="utf-8"?>
<comments xmlns="http://schemas.openxmlformats.org/spreadsheetml/2006/main">
  <authors>
    <author>Engineering Standard v0.1</author>
    <author>Sistema_DDS V2.1</author>
  </authors>
  <commentList>
    <comment ref="B18" authorId="0" shapeId="0">
      <text>
        <t>Modelo estatico simplificado do Tilt Test: tan(theta_tip) = (bitola/2)/h_CG. Compara contra o angulo minimo exigido (60 graus, IN.11.2.2).</t>
      </text>
    </comment>
    <comment ref="B19" authorId="1" shapeId="0">
      <text>
        <t>Proveniência (V2.1): bitola = E05 Key Parameters (05_VEHICLE B7/B8); CG = 315 mm, E05 Key Parameters (05_VEHICLE B5). Modelo estático simplificado (B18). Estado: NOT_VALIDATED — sem CG medido por tilt-table nem Tilt Test real.</t>
      </text>
    </comment>
    <comment ref="B21" authorId="0" shapeId="0">
      <text>
        <t>Usa o curso PROVISORIO de 07_KINEMATICS - atualizar quando houver medicao real do curso instalado.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55" customWidth="1" min="5" max="5"/>
  </cols>
  <sheetData>
    <row r="1" ht="22" customHeight="1">
      <c r="A1" s="1" t="inlineStr">
        <is>
          <t>FSAE EV — Suspension Sizing Tool  |  Fase 1</t>
        </is>
      </c>
    </row>
    <row r="3">
      <c r="A3" s="2" t="inlineStr">
        <is>
          <t>Versão do workbook: V2.1 PARCIAL (Gates 1-2 + atividades independentes; decisões A/B/C pendentes) | Status: DRAFT — cross-check, ainda NÃO REFERENCE-validated</t>
        </is>
      </c>
    </row>
    <row r="5">
      <c r="A5" s="3" t="inlineStr">
        <is>
          <t>O que este workbook é (e o que não é)</t>
        </is>
      </c>
    </row>
    <row r="6">
      <c r="A6" s="4" t="inlineStr">
        <is>
          <t>Este workbook implementa, em fórmulas nativas do Excel, as mesmas equações do Engineering Standard V2.0</t>
        </is>
      </c>
    </row>
    <row r="7">
      <c r="A7" s="4" t="inlineStr">
        <is>
          <t>(SUS-001 a SUS-104, SUS-201/202/205/206/207/208, SUS-701/702), já verificadas no piloto Python</t>
        </is>
      </c>
    </row>
    <row r="8">
      <c r="A8" s="4" t="inlineStr">
        <is>
          <t>(suspension_model_V2_0.py + test_suspension_model_V2_0.py, 16/16 Test Cases PASS).</t>
        </is>
      </c>
    </row>
    <row r="9">
      <c r="A9" s="4" t="inlineStr"/>
    </row>
    <row r="10">
      <c r="A10" s="4" t="inlineStr">
        <is>
          <t>Isso NÃO substitui o Python como motor de referência. O Data Contract V2.0 continua definindo o fluxo</t>
        </is>
      </c>
    </row>
    <row r="11">
      <c r="A11" s="4" t="inlineStr">
        <is>
          <t>Excel -&gt; input.json -&gt; Python -&gt; results.json -&gt; Excel para quando o bridge automático existir (Fase 2+).</t>
        </is>
      </c>
    </row>
    <row r="12">
      <c r="A12" s="4" t="inlineStr">
        <is>
          <t>Até lá, este Excel é uma segunda implementação independente das MESMAS equações, útil para uso diário</t>
        </is>
      </c>
    </row>
    <row r="13">
      <c r="A13" s="4" t="inlineStr">
        <is>
          <t>e como cross-check contra o Python — igual ao que já fazemos com RC/MR (REFERENCE vs. MODEL/CHECK).</t>
        </is>
      </c>
    </row>
    <row r="15">
      <c r="A15" s="3" t="inlineStr">
        <is>
          <t>Legenda de cores</t>
        </is>
      </c>
    </row>
    <row r="16">
      <c r="A16" s="5" t="inlineStr">
        <is>
          <t>■ Azul</t>
        </is>
      </c>
      <c r="B16" s="4" t="inlineStr">
        <is>
          <t>INPUT — editável pelo usuário</t>
        </is>
      </c>
    </row>
    <row r="17">
      <c r="A17" s="6" t="inlineStr">
        <is>
          <t>■ Verde-teal</t>
        </is>
      </c>
      <c r="B17" s="4" t="inlineStr">
        <is>
          <t>REFERENCE — vem do CAD/hardpoints (digitado manualmente até a Fase 2 ter Power Query)</t>
        </is>
      </c>
    </row>
    <row r="18">
      <c r="A18" s="7" t="inlineStr">
        <is>
          <t>■ Laranja + fundo</t>
        </is>
      </c>
      <c r="B18" s="4" t="inlineStr">
        <is>
          <t>PROVISÓRIO — normalmente viria do OptimumKinematics (Fase 2); input manual temporário</t>
        </is>
      </c>
    </row>
    <row r="19">
      <c r="A19" s="8" t="inlineStr">
        <is>
          <t>■ Preto + fundo cinza</t>
        </is>
      </c>
      <c r="B19" s="4" t="inlineStr">
        <is>
          <t>CALCULATED — fórmula, não editar</t>
        </is>
      </c>
    </row>
    <row r="20">
      <c r="A20" s="5" t="inlineStr">
        <is>
          <t>■ Amarelo</t>
        </is>
      </c>
      <c r="B20" s="4" t="inlineStr">
        <is>
          <t>Hipótese-chave / célula de atenção</t>
        </is>
      </c>
    </row>
    <row r="22">
      <c r="A22" s="3" t="inlineStr">
        <is>
          <t>Convenções congeladas (Engineering Standard, seção 4 e 17)</t>
        </is>
      </c>
    </row>
    <row r="23">
      <c r="A23" s="4" t="inlineStr">
        <is>
          <t>• Sistema de coordenadas: ISO 8855 — X positivo para frente, Y positivo para esquerda, Z positivo para cima.</t>
        </is>
      </c>
    </row>
    <row r="24">
      <c r="A24" s="4" t="inlineStr">
        <is>
          <t>• Pitch positivo = nariz descendo. Roll positivo = lado esquerdo sobe. Yaw positivo = anti-horário visto de cima.</t>
        </is>
      </c>
    </row>
    <row r="25">
      <c r="A25" s="4" t="inlineStr">
        <is>
          <t>• Motion Ratio = deslocamento da roda / deslocamento da mola (MR [wheel/spring]).</t>
        </is>
      </c>
    </row>
    <row r="26">
      <c r="A26" s="4" t="inlineStr">
        <is>
          <t>• Camber positivo = topo da roda para fora. Toe positivo = toe-out.</t>
        </is>
      </c>
    </row>
    <row r="27">
      <c r="A27" s="4" t="inlineStr">
        <is>
          <t>• a_x positivo = aceleração para frente (transfere carga para trás). a_y positivo = para a esquerda (lado direito ganha carga).</t>
        </is>
      </c>
    </row>
    <row r="28">
      <c r="A28" s="4" t="inlineStr">
        <is>
          <t>• SUS-000 (referência de solo): todas as alturas (h_CG, h_s, h_uF, h_uR, RC) são medidas a partir do solo, não da origem do CAD.</t>
        </is>
      </c>
    </row>
    <row r="30">
      <c r="A30" s="3" t="inlineStr">
        <is>
          <t>Limitações conhecidas da V1.0 (declaradas, não escondidas)</t>
        </is>
      </c>
    </row>
    <row r="31">
      <c r="A31" s="4" t="inlineStr">
        <is>
          <t>• Quase-estático: sem dinâmica transiente, sem modelo de amortecedor.</t>
        </is>
      </c>
    </row>
    <row r="32">
      <c r="A32" s="4" t="inlineStr">
        <is>
          <t>• RC tratado como ponto fixo no ride height estático — migração de RC durante rolagem não modelada.</t>
        </is>
      </c>
    </row>
    <row r="33">
      <c r="A33" s="4" t="inlineStr">
        <is>
          <t>• Aero fixo por Setup (sem F_aero(v)) — decisão congelada para V1.</t>
        </is>
      </c>
    </row>
    <row r="34">
      <c r="A34" s="4" t="inlineStr">
        <is>
          <t>• Anti-dive/Anti-squat (SUS-301/302) estão implementados em 06_SUSPENSION, mas com FB_f, TF_r e Instant Center PLACEHOLDER (07_KINEMATICS) — não são valores reais do carro; a linha geométrica (contact patch vs. wheel center) ainda depende da configuração real de freio/trem de força. V2.0: o método de IC lateral e a forma sem sinal de tan(φ) usados nestas fórmulas são os da V1 (Standard V2.0, notas de SUS-406/301/302: mal condicionado e sem sinal físico); os valores seguem PLACEHOLDER e não representam o carro.</t>
        </is>
      </c>
    </row>
    <row r="35">
      <c r="A35" s="4" t="inlineStr">
        <is>
          <t>• Roll Center (linhas 06_SUSPENSION) é PROVISÓRIO — inserir manualmente até o OptimumKinematics estar integrado (Fase 2).</t>
        </is>
      </c>
    </row>
    <row r="36">
      <c r="A36" s="4" t="inlineStr">
        <is>
          <t>• Modelo linear de Fz por canto só é válido enquanto Fz &gt;= 0 — resultado negativo indica perda de contato do pneu e extrapola o modelo (ver 13_VALIDATION).</t>
        </is>
      </c>
    </row>
  </sheetData>
  <mergeCells count="30">
    <mergeCell ref="A30:E30"/>
    <mergeCell ref="A34:E34"/>
    <mergeCell ref="A24:E24"/>
    <mergeCell ref="A15:E15"/>
    <mergeCell ref="A11:E11"/>
    <mergeCell ref="A1:E1"/>
    <mergeCell ref="A36:E36"/>
    <mergeCell ref="B20:E20"/>
    <mergeCell ref="A6:E6"/>
    <mergeCell ref="A7:E7"/>
    <mergeCell ref="A25:E25"/>
    <mergeCell ref="B16:E16"/>
    <mergeCell ref="A27:E27"/>
    <mergeCell ref="A12:E12"/>
    <mergeCell ref="B18:E18"/>
    <mergeCell ref="A26:E26"/>
    <mergeCell ref="A33:E33"/>
    <mergeCell ref="A5:E5"/>
    <mergeCell ref="A23:E23"/>
    <mergeCell ref="A32:E32"/>
    <mergeCell ref="A8:E8"/>
    <mergeCell ref="A22:E22"/>
    <mergeCell ref="B17:E17"/>
    <mergeCell ref="A35:E35"/>
    <mergeCell ref="A10:E10"/>
    <mergeCell ref="A28:E28"/>
    <mergeCell ref="A13:E13"/>
    <mergeCell ref="B19:E19"/>
    <mergeCell ref="A31:E3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55" customWidth="1" min="5" max="5"/>
  </cols>
  <sheetData>
    <row r="1" ht="22" customHeight="1">
      <c r="A1" s="1" t="inlineStr">
        <is>
          <t>01_SETUP</t>
        </is>
      </c>
    </row>
    <row r="3">
      <c r="A3" s="3" t="inlineStr">
        <is>
          <t>Setup ativo</t>
        </is>
      </c>
    </row>
    <row r="4">
      <c r="A4" s="4" t="inlineStr">
        <is>
          <t>Setup ID</t>
        </is>
      </c>
      <c r="B4" s="9" t="inlineStr">
        <is>
          <t>S-001</t>
        </is>
      </c>
      <c r="C4" s="10" t="inlineStr"/>
      <c r="D4" s="10" t="inlineStr"/>
    </row>
    <row r="5">
      <c r="A5" s="4" t="inlineStr">
        <is>
          <t>Nome do Setup</t>
        </is>
      </c>
      <c r="B5" s="9" t="inlineStr">
        <is>
          <t>Baseline</t>
        </is>
      </c>
      <c r="C5" s="10" t="inlineStr"/>
      <c r="D5" s="10" t="inlineStr"/>
    </row>
    <row r="6">
      <c r="A6" s="4" t="inlineStr">
        <is>
          <t>Notas</t>
        </is>
      </c>
      <c r="B6" s="9" t="inlineStr">
        <is>
          <t>Setup de referência para o piloto</t>
        </is>
      </c>
      <c r="C6" s="10" t="inlineStr"/>
      <c r="D6" s="10" t="inlineStr"/>
    </row>
    <row r="8">
      <c r="A8" s="3" t="inlineStr">
        <is>
          <t>Revisões (DEC-012 — cada domínio é independente)</t>
        </is>
      </c>
    </row>
    <row r="9">
      <c r="A9" s="4" t="inlineStr">
        <is>
          <t>Geometry REV</t>
        </is>
      </c>
      <c r="B9" s="9" t="inlineStr">
        <is>
          <t>G-REV-A</t>
        </is>
      </c>
      <c r="C9" s="10" t="inlineStr"/>
      <c r="D9" s="10" t="inlineStr"/>
    </row>
    <row r="10">
      <c r="A10" s="4" t="inlineStr">
        <is>
          <t>Kinematics REV</t>
        </is>
      </c>
      <c r="B10" s="11" t="inlineStr">
        <is>
          <t>N/A (Fase 2)</t>
        </is>
      </c>
      <c r="C10" s="10" t="inlineStr"/>
      <c r="D10" s="10" t="inlineStr"/>
    </row>
    <row r="11">
      <c r="A11" s="4" t="inlineStr">
        <is>
          <t>Tire REV</t>
        </is>
      </c>
      <c r="B11" s="11" t="inlineStr">
        <is>
          <t>N/A (Fase 2)</t>
        </is>
      </c>
      <c r="C11" s="10" t="inlineStr"/>
      <c r="D11" s="10" t="inlineStr"/>
    </row>
    <row r="12">
      <c r="A12" s="4" t="inlineStr">
        <is>
          <t>Dynamics Script Version</t>
        </is>
      </c>
      <c r="B12" s="9" t="inlineStr">
        <is>
          <t>V2.0</t>
        </is>
      </c>
      <c r="C12" s="10" t="inlineStr"/>
      <c r="D12" s="10" t="inlineStr"/>
    </row>
  </sheetData>
  <mergeCells count="3">
    <mergeCell ref="A8:E8"/>
    <mergeCell ref="A1:E1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2" customHeight="1">
      <c r="A1" s="1" t="inlineStr">
        <is>
          <t>02_REQUIREMENTS</t>
        </is>
      </c>
    </row>
    <row r="3">
      <c r="A3" s="3" t="inlineStr">
        <is>
          <t>Requisitos do Rulebook (FSAE Rules 2026 V1.0) pertinentes ao domínio já modelado</t>
        </is>
      </c>
    </row>
    <row r="4">
      <c r="A4" s="3" t="inlineStr">
        <is>
          <t>ID</t>
        </is>
      </c>
      <c r="B4" s="3" t="inlineStr">
        <is>
          <t>Requirement</t>
        </is>
      </c>
      <c r="C4" s="3" t="inlineStr">
        <is>
          <t>Value</t>
        </is>
      </c>
      <c r="D4" s="3" t="inlineStr">
        <is>
          <t>Type</t>
        </is>
      </c>
      <c r="E4" s="3" t="inlineStr">
        <is>
          <t>Source</t>
        </is>
      </c>
      <c r="F4" s="3" t="inlineStr">
        <is>
          <t>Status</t>
        </is>
      </c>
      <c r="G4" s="3" t="inlineStr">
        <is>
          <t>Owner</t>
        </is>
      </c>
      <c r="H4" s="3" t="inlineStr">
        <is>
          <t>Revision</t>
        </is>
      </c>
    </row>
    <row r="5" ht="45" customHeight="1">
      <c r="A5" s="12" t="inlineStr">
        <is>
          <t>REQ-001</t>
        </is>
      </c>
      <c r="B5" s="12" t="inlineStr">
        <is>
          <t>Wheelbase mínimo (SUS-003)</t>
        </is>
      </c>
      <c r="C5" s="12" t="inlineStr">
        <is>
          <t>&gt;= 1525 mm</t>
        </is>
      </c>
      <c r="D5" s="12" t="inlineStr">
        <is>
          <t>Geometry</t>
        </is>
      </c>
      <c r="E5" s="12" t="inlineStr">
        <is>
          <t>Rulebook V.1.2</t>
        </is>
      </c>
      <c r="F5" s="12" t="inlineStr">
        <is>
          <t>ACTIVE</t>
        </is>
      </c>
      <c r="G5" s="12" t="inlineStr">
        <is>
          <t>N/A (externo)</t>
        </is>
      </c>
      <c r="H5" s="12" t="inlineStr">
        <is>
          <t>FSAE Rules 2026 V1.0</t>
        </is>
      </c>
    </row>
    <row r="6" ht="45" customHeight="1">
      <c r="A6" s="12" t="inlineStr">
        <is>
          <t>REQ-002</t>
        </is>
      </c>
      <c r="B6" s="12" t="inlineStr">
        <is>
          <t>Razão entre bitolas (SUS-004/SUS-005): a menor não pode ser &lt; 75% da maior</t>
        </is>
      </c>
      <c r="C6" s="12" t="inlineStr">
        <is>
          <t>&gt;= 0.75 (menor/maior)</t>
        </is>
      </c>
      <c r="D6" s="12" t="inlineStr">
        <is>
          <t>Geometry</t>
        </is>
      </c>
      <c r="E6" s="12" t="inlineStr">
        <is>
          <t>Rulebook V.1.3.2</t>
        </is>
      </c>
      <c r="F6" s="12" t="inlineStr">
        <is>
          <t>ACTIVE</t>
        </is>
      </c>
      <c r="G6" s="12" t="inlineStr">
        <is>
          <t>N/A (externo)</t>
        </is>
      </c>
      <c r="H6" s="12" t="inlineStr">
        <is>
          <t>FSAE Rules 2026 V1.0</t>
        </is>
      </c>
    </row>
    <row r="7" ht="45" customHeight="1">
      <c r="A7" s="12" t="inlineStr">
        <is>
          <t>REQ-003</t>
        </is>
      </c>
      <c r="B7" s="12" t="inlineStr">
        <is>
          <t>Estabilidade ao capotamento: bitola + CG (SUS-002, SUS-004/005) devem combinar para o veículo não capotar no Tilt Test</t>
        </is>
      </c>
      <c r="C7" s="12" t="inlineStr">
        <is>
          <t>não capota a 60° de inclinação (~1.7g lateral equivalente)</t>
        </is>
      </c>
      <c r="D7" s="12" t="inlineStr">
        <is>
          <t>Safety</t>
        </is>
      </c>
      <c r="E7" s="12" t="inlineStr">
        <is>
          <t>Rulebook V.1.3.1 + IN.11.2.2 (Tilt Test)</t>
        </is>
      </c>
      <c r="F7" s="12" t="inlineStr">
        <is>
          <t>ACTIVE</t>
        </is>
      </c>
      <c r="G7" s="12" t="inlineStr">
        <is>
          <t>N/A (externo)</t>
        </is>
      </c>
      <c r="H7" s="12" t="inlineStr">
        <is>
          <t>FSAE Rules 2026 V1.0</t>
        </is>
      </c>
    </row>
    <row r="8" ht="45" customHeight="1">
      <c r="A8" s="12" t="inlineStr">
        <is>
          <t>REQ-004</t>
        </is>
      </c>
      <c r="B8" s="12" t="inlineStr">
        <is>
          <t>Curso útil mínimo de suspensão, dianteiro e traseiro, com piloto sentado</t>
        </is>
      </c>
      <c r="C8" s="12" t="inlineStr">
        <is>
          <t>&gt;= 50 mm</t>
        </is>
      </c>
      <c r="D8" s="12" t="inlineStr">
        <is>
          <t>Competition</t>
        </is>
      </c>
      <c r="E8" s="12" t="inlineStr">
        <is>
          <t>Rulebook V.3.1.1</t>
        </is>
      </c>
      <c r="F8" s="12" t="inlineStr">
        <is>
          <t>ACTIVE</t>
        </is>
      </c>
      <c r="G8" s="12" t="inlineStr">
        <is>
          <t>N/A (externo)</t>
        </is>
      </c>
      <c r="H8" s="12" t="inlineStr">
        <is>
          <t>FSAE Rules 2026 V1.0</t>
        </is>
      </c>
    </row>
    <row r="9" ht="45" customHeight="1">
      <c r="A9" s="12" t="inlineStr">
        <is>
          <t>REQ-005</t>
        </is>
      </c>
      <c r="B9" s="12" t="inlineStr">
        <is>
          <t>Diâmetro mínimo de roda (afeta estimativa de altura de CG não-suspenso, SUS-010/011)</t>
        </is>
      </c>
      <c r="C9" s="12" t="inlineStr">
        <is>
          <t>&gt;= 203.2 mm (8.0 in)</t>
        </is>
      </c>
      <c r="D9" s="12" t="inlineStr">
        <is>
          <t>Components</t>
        </is>
      </c>
      <c r="E9" s="12" t="inlineStr">
        <is>
          <t>Rulebook V.4.1</t>
        </is>
      </c>
      <c r="F9" s="12" t="inlineStr">
        <is>
          <t>ACTIVE</t>
        </is>
      </c>
      <c r="G9" s="12" t="inlineStr">
        <is>
          <t>N/A (externo)</t>
        </is>
      </c>
      <c r="H9" s="12" t="inlineStr">
        <is>
          <t>FSAE Rules 2026 V1.0</t>
        </is>
      </c>
    </row>
    <row r="10" ht="45" customHeight="1">
      <c r="A10" s="12" t="inlineStr">
        <is>
          <t>REQ-006</t>
        </is>
      </c>
      <c r="B10" s="12" t="inlineStr">
        <is>
          <t>Sistema de freio deve travar as 4 rodas com controle único e 2 circuitos hidráulicos independentes; para EV, ate 90% do curso do pedal pode ser regenerativo antes de acionar o hidraulico (contexto para SUS-013)</t>
        </is>
      </c>
      <c r="C10" s="12" t="inlineStr">
        <is>
          <t>4 rodas / 2 circuitos / 90% pedal regen (EV)</t>
        </is>
      </c>
      <c r="D10" s="12" t="inlineStr">
        <is>
          <t>Safety</t>
        </is>
      </c>
      <c r="E10" s="12" t="inlineStr">
        <is>
          <t>Rulebook T.3.1.2, T.3.1.3, T.3.2.4</t>
        </is>
      </c>
      <c r="F10" s="12" t="inlineStr">
        <is>
          <t>ACTIVE</t>
        </is>
      </c>
      <c r="G10" s="12" t="inlineStr">
        <is>
          <t>N/A (externo)</t>
        </is>
      </c>
      <c r="H10" s="12" t="inlineStr">
        <is>
          <t>FSAE Rules 2026 V1.0</t>
        </is>
      </c>
    </row>
    <row r="12">
      <c r="A12" s="13" t="inlineStr">
        <is>
          <t>Requisitos acima vêm exclusivamente do Rulebook (FSAE Rules 2026 V1.0) - citação de regra exata em cada linha.</t>
        </is>
      </c>
    </row>
    <row r="13">
      <c r="A13" s="13" t="inlineStr">
        <is>
          <t>Restrições próprias da equipe (Team/Packaging/Manufacturing) ainda NÃO foram definidas - serão adicionadas quando a equipe as fornecer, não antes.</t>
        </is>
      </c>
    </row>
  </sheetData>
  <mergeCells count="4">
    <mergeCell ref="A12:H12"/>
    <mergeCell ref="A1:E1"/>
    <mergeCell ref="A13:H13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2" customHeight="1">
      <c r="A1" s="1" t="inlineStr">
        <is>
          <t>03_TARGETS</t>
        </is>
      </c>
    </row>
    <row r="3">
      <c r="A3" s="3" t="inlineStr">
        <is>
          <t>Targets (aquilo que a equipe quer atingir) — ESTRUTURA, sem valores inventados</t>
        </is>
      </c>
    </row>
    <row r="4">
      <c r="A4" s="3" t="inlineStr">
        <is>
          <t>ID</t>
        </is>
      </c>
      <c r="B4" s="3" t="inlineStr">
        <is>
          <t>Parameter</t>
        </is>
      </c>
      <c r="C4" s="3" t="inlineStr">
        <is>
          <t>Target</t>
        </is>
      </c>
      <c r="D4" s="3" t="inlineStr">
        <is>
          <t>Status</t>
        </is>
      </c>
      <c r="E4" s="3" t="inlineStr">
        <is>
          <t>Owner</t>
        </is>
      </c>
      <c r="F4" s="3" t="inlineStr">
        <is>
          <t>Decision</t>
        </is>
      </c>
      <c r="G4" s="3" t="inlineStr">
        <is>
          <t>Revision</t>
        </is>
      </c>
    </row>
    <row r="5">
      <c r="A5" s="14" t="inlineStr">
        <is>
          <t>TARGET-001</t>
        </is>
      </c>
      <c r="B5" s="14" t="inlineStr">
        <is>
          <t>Front Natural Frequency (SUS-205)</t>
        </is>
      </c>
      <c r="C5" s="9" t="inlineStr">
        <is>
          <t>TBD</t>
        </is>
      </c>
      <c r="D5" s="14" t="inlineStr">
        <is>
          <t>OPEN</t>
        </is>
      </c>
      <c r="E5" s="14" t="inlineStr">
        <is>
          <t>TBD</t>
        </is>
      </c>
      <c r="F5" s="14" t="inlineStr">
        <is>
          <t>-</t>
        </is>
      </c>
      <c r="G5" s="15" t="inlineStr">
        <is>
          <t>-</t>
        </is>
      </c>
    </row>
    <row r="6">
      <c r="A6" s="14" t="inlineStr">
        <is>
          <t>TARGET-002</t>
        </is>
      </c>
      <c r="B6" s="14" t="inlineStr">
        <is>
          <t>Rear Natural Frequency (SUS-205)</t>
        </is>
      </c>
      <c r="C6" s="9" t="inlineStr">
        <is>
          <t>TBD</t>
        </is>
      </c>
      <c r="D6" s="14" t="inlineStr">
        <is>
          <t>OPEN</t>
        </is>
      </c>
      <c r="E6" s="14" t="inlineStr">
        <is>
          <t>TBD</t>
        </is>
      </c>
      <c r="F6" s="14" t="inlineStr">
        <is>
          <t>-</t>
        </is>
      </c>
      <c r="G6" s="15" t="inlineStr">
        <is>
          <t>-</t>
        </is>
      </c>
    </row>
    <row r="7">
      <c r="A7" s="14" t="inlineStr">
        <is>
          <t>TARGET-003</t>
        </is>
      </c>
      <c r="B7" s="14" t="inlineStr">
        <is>
          <t>Roll Stiffness Distribution - lambda_f (SUS-208)</t>
        </is>
      </c>
      <c r="C7" s="9" t="inlineStr">
        <is>
          <t>TBD</t>
        </is>
      </c>
      <c r="D7" s="14" t="inlineStr">
        <is>
          <t>OPEN</t>
        </is>
      </c>
      <c r="E7" s="14" t="inlineStr">
        <is>
          <t>TBD</t>
        </is>
      </c>
      <c r="F7" s="14" t="inlineStr">
        <is>
          <t>-</t>
        </is>
      </c>
      <c r="G7" s="15" t="inlineStr">
        <is>
          <t>-</t>
        </is>
      </c>
    </row>
    <row r="8">
      <c r="A8" s="14" t="inlineStr">
        <is>
          <t>TARGET-004</t>
        </is>
      </c>
      <c r="B8" s="14" t="inlineStr">
        <is>
          <t>Anti-Dive % (SUS-301)</t>
        </is>
      </c>
      <c r="C8" s="9" t="inlineStr">
        <is>
          <t>TBD</t>
        </is>
      </c>
      <c r="D8" s="14" t="inlineStr">
        <is>
          <t>OPEN</t>
        </is>
      </c>
      <c r="E8" s="14" t="inlineStr">
        <is>
          <t>TBD</t>
        </is>
      </c>
      <c r="F8" s="14" t="inlineStr">
        <is>
          <t>-</t>
        </is>
      </c>
      <c r="G8" s="15" t="inlineStr">
        <is>
          <t>-</t>
        </is>
      </c>
    </row>
    <row r="9">
      <c r="A9" s="14" t="inlineStr">
        <is>
          <t>TARGET-005</t>
        </is>
      </c>
      <c r="B9" s="14" t="inlineStr">
        <is>
          <t>Anti-Squat % (SUS-302)</t>
        </is>
      </c>
      <c r="C9" s="9" t="inlineStr">
        <is>
          <t>TBD</t>
        </is>
      </c>
      <c r="D9" s="14" t="inlineStr">
        <is>
          <t>OPEN</t>
        </is>
      </c>
      <c r="E9" s="14" t="inlineStr">
        <is>
          <t>TBD</t>
        </is>
      </c>
      <c r="F9" s="14" t="inlineStr">
        <is>
          <t>-</t>
        </is>
      </c>
      <c r="G9" s="15" t="inlineStr">
        <is>
          <t>-</t>
        </is>
      </c>
    </row>
    <row r="11">
      <c r="A11" s="13" t="inlineStr">
        <is>
          <t>'Target' = TBD e Status = OPEN deliberadamente: nenhum valor-alvo real foi definido pela equipe ainda.</t>
        </is>
      </c>
    </row>
    <row r="12">
      <c r="A12" s="13" t="inlineStr">
        <is>
          <t>Parametros como Motion Ratio, Spring Rate e Wheel Rate NAO viram Target aqui de proposito - sao consequencia de geometria/packaging/Design Mode, nao objetivos primarios.</t>
        </is>
      </c>
    </row>
  </sheetData>
  <mergeCells count="4">
    <mergeCell ref="A11:G11"/>
    <mergeCell ref="A1:E1"/>
    <mergeCell ref="A12:G12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40" customWidth="1" min="3" max="3"/>
    <col width="40" customWidth="1" min="4" max="4"/>
    <col width="30" customWidth="1" min="5" max="5"/>
    <col width="22" customWidth="1" min="6" max="6"/>
    <col width="14" customWidth="1" min="7" max="7"/>
    <col width="20" customWidth="1" min="8" max="8"/>
  </cols>
  <sheetData>
    <row r="1" ht="22" customHeight="1">
      <c r="A1" s="1" t="inlineStr">
        <is>
          <t>04_DECISION_REGISTER</t>
        </is>
      </c>
    </row>
    <row r="3">
      <c r="A3" s="3" t="inlineStr">
        <is>
          <t>Decisões já tomadas (arquitetura/física da V1) — registro consolidado (planilha + Guide, Apêndice E)</t>
        </is>
      </c>
    </row>
    <row r="4">
      <c r="A4" s="3" t="inlineStr">
        <is>
          <t>ID</t>
        </is>
      </c>
      <c r="B4" s="3" t="inlineStr">
        <is>
          <t>Target/Escopo</t>
        </is>
      </c>
      <c r="C4" s="3" t="inlineStr">
        <is>
          <t>Decision</t>
        </is>
      </c>
      <c r="D4" s="3" t="inlineStr">
        <is>
          <t>Why</t>
        </is>
      </c>
      <c r="E4" s="3" t="inlineStr">
        <is>
          <t>Constraints</t>
        </is>
      </c>
      <c r="F4" s="3" t="inlineStr">
        <is>
          <t>Owner</t>
        </is>
      </c>
      <c r="G4" s="3" t="inlineStr">
        <is>
          <t>Status</t>
        </is>
      </c>
      <c r="H4" s="3" t="inlineStr">
        <is>
          <t>Origem</t>
        </is>
      </c>
    </row>
    <row r="5" ht="60" customHeight="1">
      <c r="A5" s="12" t="inlineStr">
        <is>
          <t>DR-001</t>
        </is>
      </c>
      <c r="B5" s="12" t="inlineStr">
        <is>
          <t>Convenções (todos os SUS-XXX)</t>
        </is>
      </c>
      <c r="C5" s="12" t="inlineStr">
        <is>
          <t>Sistema de coordenadas ISO 8855 (X-frente, Y-esquerda, Z-cima), destrogiro, sinais por regra da mao direita sem excecao intuitiva.</t>
        </is>
      </c>
      <c r="D5" s="12" t="inlineStr">
        <is>
          <t>Padrao internacional de dinamica veicular; evita ambiguidade entre pitch/roll/yaw ao importar dados de ferramentas externas.</t>
        </is>
      </c>
      <c r="E5" s="12" t="inlineStr">
        <is>
          <t>Compatibilidade com OptimumKinematics (configuravel) e Lotus (requer adapter de sinal).</t>
        </is>
      </c>
      <c r="F5" s="12" t="inlineStr">
        <is>
          <t>Mecanica (decisao de arquitetura)</t>
        </is>
      </c>
      <c r="G5" s="12" t="inlineStr">
        <is>
          <t>FROZEN</t>
        </is>
      </c>
      <c r="H5" s="12" t="inlineStr">
        <is>
          <t>Planilha + Guide</t>
        </is>
      </c>
    </row>
    <row r="6" ht="60" customHeight="1">
      <c r="A6" s="12" t="inlineStr">
        <is>
          <t>DR-002</t>
        </is>
      </c>
      <c r="B6" s="12" t="inlineStr">
        <is>
          <t>SUS-201/202</t>
        </is>
      </c>
      <c r="C6" s="12" t="inlineStr">
        <is>
          <t>Motion Ratio definido como wheel travel / spring travel (nao a convencao inversa).</t>
        </is>
      </c>
      <c r="D6" s="12" t="inlineStr">
        <is>
          <t>Convencao unica evita erro de fator ao converter Ks&lt;-&gt;Kw; nomenclatura explicita 'MR [wheel/spring]' obrigatoria.</t>
        </is>
      </c>
      <c r="E6" s="12" t="inlineStr">
        <is>
          <t>Nenhuma - decisao de nomenclatura interna.</t>
        </is>
      </c>
      <c r="F6" s="12" t="inlineStr">
        <is>
          <t>Mecanica (decisao de arquitetura)</t>
        </is>
      </c>
      <c r="G6" s="12" t="inlineStr">
        <is>
          <t>FROZEN</t>
        </is>
      </c>
      <c r="H6" s="12" t="inlineStr">
        <is>
          <t>Planilha + Guide</t>
        </is>
      </c>
    </row>
    <row r="7" ht="60" customHeight="1">
      <c r="A7" s="12" t="inlineStr">
        <is>
          <t>DR-003</t>
        </is>
      </c>
      <c r="B7" s="12" t="inlineStr">
        <is>
          <t>SUS-103</t>
        </is>
      </c>
      <c r="C7" s="12" t="inlineStr">
        <is>
          <t>Modelo de duas molas de Milliken adotado como formulacao de referencia para transferencia lateral de carga.</t>
        </is>
      </c>
      <c r="D7" s="12" t="inlineStr">
        <is>
          <t>Formulacao padrao da literatura (Milliken, RCVD); verificada algebricamente (conservacao de momento), numericamente (Python+Excel) e cross-referenciada contra Chalmers/Sampo (transcricao identica termo a termo).</t>
        </is>
      </c>
      <c r="E7" s="12" t="inlineStr">
        <is>
          <t>Hipotese de superposicao linear; RC estatico (sem migracao dinamica).</t>
        </is>
      </c>
      <c r="F7" s="12" t="inlineStr">
        <is>
          <t>Mecanica (decisao de arquitetura)</t>
        </is>
      </c>
      <c r="G7" s="12" t="inlineStr">
        <is>
          <t>FROZEN</t>
        </is>
      </c>
      <c r="H7" s="12" t="inlineStr">
        <is>
          <t>Planilha + Guide</t>
        </is>
      </c>
    </row>
    <row r="8" ht="60" customHeight="1">
      <c r="A8" s="12" t="inlineStr">
        <is>
          <t>DR-004</t>
        </is>
      </c>
      <c r="B8" s="12" t="inlineStr">
        <is>
          <t>Todo o dominio de suspensao</t>
        </is>
      </c>
      <c r="C8" s="12" t="inlineStr">
        <is>
          <t>T09/E03 e a referencia historica de suspensao; TX/E05 nao contamina o baseline de dados de suspensao.</t>
        </is>
      </c>
      <c r="D8" s="12" t="inlineStr">
        <is>
          <t>Dados de suspensao do TX se mostraram parcialmente estimados/inconsistentes (ex.: ARB documentado mas nao efetivamente implementado); T09 tem planilha de calculo detalhada verificavel.</t>
        </is>
      </c>
      <c r="E8" s="12" t="inlineStr">
        <is>
          <t>Dados gerais de veiculo (massa, geometria) do TX permanecem utilizaveis quando o Design Case for aberto - a exclusao e so para comportamento/configuracao de suspensao.</t>
        </is>
      </c>
      <c r="F8" s="12" t="inlineStr">
        <is>
          <t>Mecanica (decisao de arquitetura)</t>
        </is>
      </c>
      <c r="G8" s="12" t="inlineStr">
        <is>
          <t>FROZEN</t>
        </is>
      </c>
      <c r="H8" s="12" t="inlineStr">
        <is>
          <t>Planilha + Guide</t>
        </is>
      </c>
    </row>
    <row r="9" ht="60" customHeight="1">
      <c r="A9" s="12" t="inlineStr">
        <is>
          <t>DR-005</t>
        </is>
      </c>
      <c r="B9" s="12" t="inlineStr">
        <is>
          <t>SUS-401 (Roll Center)</t>
        </is>
      </c>
      <c r="C9" s="12" t="inlineStr">
        <is>
          <t>V1 usa RC_static = RC(z_RH); sem migracao dinamica do roll center durante rolagem.</t>
        </is>
      </c>
      <c r="D9" s="12" t="inlineStr">
        <is>
          <t>Modelagem de RC(phi) exigiria acoplamento iterativo Vehicle State &lt;-&gt; KOP, fora do escopo da V1.</t>
        </is>
      </c>
      <c r="E9" s="12" t="inlineStr">
        <is>
          <t>Limitacao conhecida e documentada; OptimumKinematics assume essa responsabilidade na V2.</t>
        </is>
      </c>
      <c r="F9" s="12" t="inlineStr">
        <is>
          <t>Mecanica (decisao de arquitetura)</t>
        </is>
      </c>
      <c r="G9" s="12" t="inlineStr">
        <is>
          <t>FROZEN</t>
        </is>
      </c>
      <c r="H9" s="12" t="inlineStr">
        <is>
          <t>Planilha + Guide</t>
        </is>
      </c>
    </row>
    <row r="10" ht="60" customHeight="1">
      <c r="A10" s="12" t="inlineStr">
        <is>
          <t>DR-006</t>
        </is>
      </c>
      <c r="B10" s="12" t="inlineStr">
        <is>
          <t>SUS-301/SUS-302</t>
        </is>
      </c>
      <c r="C10" s="12" t="inlineStr">
        <is>
          <t>Anti-dive e anti-squat nao alteram a magnitude da transferencia de carga longitudinal global - so descrevem a particao geometrica vs. elastica da reacao.</t>
        </is>
      </c>
      <c r="D10" s="12" t="inlineStr">
        <is>
          <t>Erro classico de interpretacao seria multiplicar o load transfer por (1-%AD); isso e fisicamente incorreto sob equilibrio de corpo rigido.</t>
        </is>
      </c>
      <c r="E10" s="12" t="inlineStr">
        <is>
          <t>Nenhuma equacao de load transfer deve referenciar %AD/%AS como fator multiplicativo.</t>
        </is>
      </c>
      <c r="F10" s="12" t="inlineStr">
        <is>
          <t>Mecanica (decisao de arquitetura)</t>
        </is>
      </c>
      <c r="G10" s="12" t="inlineStr">
        <is>
          <t>FROZEN</t>
        </is>
      </c>
      <c r="H10" s="12" t="inlineStr">
        <is>
          <t>Planilha + Guide</t>
        </is>
      </c>
    </row>
    <row r="11" ht="60" customHeight="1">
      <c r="A11" s="12" t="inlineStr">
        <is>
          <t>DR-007</t>
        </is>
      </c>
      <c r="B11" s="12" t="inlineStr">
        <is>
          <t>SUS-701/SUS-702</t>
        </is>
      </c>
      <c r="C11" s="12" t="inlineStr">
        <is>
          <t>Aero da V1 limitado a downforce total + aero balance dianteiro, ambos constantes por Setup (sem F_aero(v), sem CFD).</t>
        </is>
      </c>
      <c r="D11" s="12" t="inlineStr">
        <is>
          <t>Evita 'fisica implicita' no Excel sem Engineering Standard formal para aero dependente de velocidade.</t>
        </is>
      </c>
      <c r="E11" s="12" t="inlineStr">
        <is>
          <t>Se aero dependente de velocidade for necessario no futuro, exige nova ficha SUS-7XX formal antes de implementar.</t>
        </is>
      </c>
      <c r="F11" s="12" t="inlineStr">
        <is>
          <t>Mecanica (decisao de arquitetura)</t>
        </is>
      </c>
      <c r="G11" s="12" t="inlineStr">
        <is>
          <t>FROZEN</t>
        </is>
      </c>
      <c r="H11" s="12" t="inlineStr">
        <is>
          <t>Planilha + Guide</t>
        </is>
      </c>
    </row>
    <row r="12" ht="60" customHeight="1">
      <c r="A12" s="12" t="inlineStr">
        <is>
          <t>DR-008</t>
        </is>
      </c>
      <c r="B12" s="12" t="inlineStr">
        <is>
          <t>Arquitetura Excel/Python</t>
        </is>
      </c>
      <c r="C12" s="12" t="inlineStr">
        <is>
          <t>Nenhuma bridge automatica Python&lt;-&gt;Excel na V1; Excel possui implementacao propria das formulas, Python e motor independente, ambos comparados manualmente.</t>
        </is>
      </c>
      <c r="D12" s="12" t="inlineStr">
        <is>
          <t>Bridge JSON/CSV e um projeto proprio; construir isso antes de validar o modelo fisico inverteria a prioridade.</t>
        </is>
      </c>
      <c r="E12" s="12" t="inlineStr">
        <is>
          <t>Quando a bridge existir, as formulas do Excel permanecem como cross-check independente, nao sao descartadas.</t>
        </is>
      </c>
      <c r="F12" s="12" t="inlineStr">
        <is>
          <t>Mecanica (decisao de arquitetura)</t>
        </is>
      </c>
      <c r="G12" s="12" t="inlineStr">
        <is>
          <t>n/d</t>
        </is>
      </c>
      <c r="H12" s="12" t="inlineStr">
        <is>
          <t>Planilha</t>
        </is>
      </c>
    </row>
    <row r="13" ht="120" customHeight="1">
      <c r="A13" s="12" t="inlineStr">
        <is>
          <t>DR-009</t>
        </is>
      </c>
      <c r="B13" s="12" t="inlineStr">
        <is>
          <t>SUS-402 e SUS-406 (início da V2)</t>
        </is>
      </c>
      <c r="C13" s="12" t="inlineStr">
        <is>
          <t>SUS-402 (Roll Center via IC em vista frontal) e SUS-406 (Instant Center em vista lateral, para Anti-Dive/Anti-Squat) formalizados e implementados apenas em Python (kinematics_model_V2_0.py), nao em formula nativa do Excel.</t>
        </is>
      </c>
      <c r="D13" s="12" t="inlineStr">
        <is>
          <t>A dupla interseccao de retas 2D produziria uma formula de planilha longa e ilegivel; verificado com casos de teste sinteticos (11/11 PASS no total, incluindo simetria de espelhamento e casos degenerados de retas paralelas) antes de qualquer hardpoint real existir. SUS-406 usa ponto medio das buchas como proxy do eixo de pivo em vista lateral (diferente do SUS-402, que usa o mesmo ponto para vista frontal) - aproximacao de primeira ordem documentada na ficha. Guide (DR-009): solver cinematico interno fora da V1, motivo "evitar duplicacao".</t>
        </is>
      </c>
      <c r="E13" s="12" t="inlineStr">
        <is>
          <t>Nunca autoritativo (Data Type MODEL, proposito cross-check) - OptimumKinematics continua sendo REFERENCE oficial (SUS-401/SUS-406) quando integrado. Ainda nao conectado ao Excel - aguarda o hardpoint schema (proximo passo da V2).</t>
        </is>
      </c>
      <c r="F13" s="12" t="inlineStr">
        <is>
          <t>Mecanica (decisao de arquitetura)</t>
        </is>
      </c>
      <c r="G13" s="12" t="inlineStr">
        <is>
          <t>FROZEN</t>
        </is>
      </c>
      <c r="H13" s="12" t="inlineStr">
        <is>
          <t>Planilha + Guide (Guide: DR-009)</t>
        </is>
      </c>
    </row>
    <row r="14" ht="90" customHeight="1">
      <c r="A14" s="12" t="inlineStr">
        <is>
          <t>DR-010</t>
        </is>
      </c>
      <c r="B14" s="12" t="inlineStr">
        <is>
          <t>SUS-202 / SUS-205 (Design Mode)</t>
        </is>
      </c>
      <c r="C14" s="12" t="inlineStr">
        <is>
          <t>Design Mode explicito: o calculo reverso deve indicar qual variavel e o alvo e qual e resolvida; sem goal seek opaco.</t>
        </is>
      </c>
      <c r="D14" s="12" t="inlineStr">
        <is>
          <t>Evitar goal seek opaco e o uso da mesma equacao no sentido errado (Guide, Apendice B.3).</t>
        </is>
      </c>
      <c r="E14" s="12" t="inlineStr">
        <is>
          <t>Design Mode nao cria fichas proprias: e a equacao reversa dentro de SUS-202/205 (Engineering Standard, Bloco J). Equacao reversa de roll stiffness (SUS-206/207) ainda nao escrita no Standard. Valores de 2,5/2,7 Hz e lambda_f 0,55 em 11_DESIGN sao demonstrativos, nao TARGET (Guide, cap. 4.11 e Apendice F.2).</t>
        </is>
      </c>
      <c r="F14" s="12" t="inlineStr">
        <is>
          <t>Mecanica (decisao de arquitetura)</t>
        </is>
      </c>
      <c r="G14" s="12" t="inlineStr">
        <is>
          <t>FROZEN</t>
        </is>
      </c>
      <c r="H14" s="12" t="inlineStr">
        <is>
          <t>Guide</t>
        </is>
      </c>
    </row>
    <row r="15" ht="90" customHeight="1">
      <c r="A15" s="12" t="inlineStr">
        <is>
          <t>DR-011</t>
        </is>
      </c>
      <c r="B15" s="12" t="inlineStr">
        <is>
          <t>SUS-501 / SUS-502 / SUS-503 (Tire)</t>
        </is>
      </c>
      <c r="C15" s="12" t="inlineStr">
        <is>
          <t>Pneu consumido como REFERENCE (OptimumTire/TTC), sem ajuste (fit) proprio na V1.</t>
        </is>
      </c>
      <c r="D15" s="12" t="inlineStr">
        <is>
          <t>Sem fit proprio na V1 (Guide, Apendice E). Numeracao: no Guide esta decisao aparece como DR-008.</t>
        </is>
      </c>
      <c r="E15" s="12" t="inlineStr">
        <is>
          <t>Nivel 1 (lookup) ou nivel 2 (parametrico) conforme DEC-007 (Engineering Standard). Verificar a convencao de sinal de alpha e de slip ratio exportada contra ISO 8855 antes de consumir. 10_TIRE aguarda a Fase 2.</t>
        </is>
      </c>
      <c r="F15" s="12" t="inlineStr">
        <is>
          <t>Mecanica (decisao de arquitetura)</t>
        </is>
      </c>
      <c r="G15" s="12" t="inlineStr">
        <is>
          <t>FROZEN</t>
        </is>
      </c>
      <c r="H15" s="12" t="inlineStr">
        <is>
          <t>Guide</t>
        </is>
      </c>
    </row>
    <row r="16" ht="130" customHeight="1">
      <c r="A16" s="12" t="inlineStr">
        <is>
          <t>DR-012</t>
        </is>
      </c>
      <c r="B16" s="12" t="inlineStr">
        <is>
          <t>SUS-407..413 (Kinematics Model); SUS-406/301/302 (propostas); schema de hardpoints</t>
        </is>
      </c>
      <c r="C16" s="12" t="inlineStr">
        <is>
          <t>Solver cinematico 3D de double wishbone implementado em Python (kinematics_model_V2_0.py) como MODEL/cross-check, a partir de hardpoints.csv (schema V2.0). Nunca substitui o OptimumKinematics (REFERENCE).</t>
        </is>
      </c>
      <c r="D16" s="12" t="inlineStr">
        <is>
          <t>Pedido do usuario: Kinematics o mais completa possivel na V2; DR-009 ja previa o solver interno para a V2. Formulacao verificada por solver independente, casos analiticos e teste de mutacao (47 testes de kinematics, 21 de hardpoints).</t>
        </is>
      </c>
      <c r="E16" s="12" t="inlineStr">
        <is>
          <t>PROPOSTAS aguardando aprovacao, NAO aplicadas ao 06_SUSPENSION: (1) IC lateral cinematico no lugar do metodo outer-&gt;ponto medio (SUS-406 V1); (2) %AD/%AS com sinal fisico no lugar de |d|; (3) IDs SUS-407..413 e schema de hardpoints. Sem hardpoints reais, TC-011 segue NOT_VALIDATED. Limite de aviso de MR (0,2) e vocabulario de Status/Component sao hipoteses.</t>
        </is>
      </c>
      <c r="F16" s="12" t="inlineStr">
        <is>
          <t>Mecanica (decisao de arquitetura)</t>
        </is>
      </c>
      <c r="G16" s="12" t="inlineStr">
        <is>
          <t>DRAFT</t>
        </is>
      </c>
      <c r="H16" s="12" t="inlineStr">
        <is>
          <t>V2.0 (proposta)</t>
        </is>
      </c>
    </row>
    <row r="17">
      <c r="A17" s="18" t="inlineStr">
        <is>
          <t>Status = Estado do Guide (Apendice E.1). DR-008 nao tem estado registrado em nenhum documento (n/d). Origem "Guide" = decisao que so existia no Guide.</t>
        </is>
      </c>
    </row>
    <row r="18">
      <c r="A18" s="18" t="inlineStr">
        <is>
          <t>Fonte oficial consolidada de decisões: Engineering_Decision_Register.md (EDR-xxx). Esta aba é espelho resumido (DR-xxx); em caso de divergência, vale o EDR.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55" customWidth="1" min="5" max="5"/>
  </cols>
  <sheetData>
    <row r="1" ht="22" customHeight="1">
      <c r="A1" s="1" t="inlineStr">
        <is>
          <t>05_VEHICLE</t>
        </is>
      </c>
    </row>
    <row r="3">
      <c r="A3" s="3" t="inlineStr">
        <is>
          <t>Massa e Geometria</t>
        </is>
      </c>
    </row>
    <row r="4">
      <c r="A4" s="4" t="inlineStr">
        <is>
          <t>Massa total (com piloto)</t>
        </is>
      </c>
      <c r="B4" s="16" t="n">
        <v>316.5</v>
      </c>
      <c r="C4" s="10" t="inlineStr">
        <is>
          <t>kg</t>
        </is>
      </c>
      <c r="D4" s="10" t="inlineStr">
        <is>
          <t>SUS-001</t>
        </is>
      </c>
    </row>
    <row r="5">
      <c r="A5" s="4" t="inlineStr">
        <is>
          <t>Altura do CG (total)</t>
        </is>
      </c>
      <c r="B5" s="16" t="n">
        <v>0.315</v>
      </c>
      <c r="C5" s="10" t="inlineStr">
        <is>
          <t>m</t>
        </is>
      </c>
      <c r="D5" s="10" t="inlineStr">
        <is>
          <t>SUS-002</t>
        </is>
      </c>
    </row>
    <row r="6">
      <c r="A6" s="4" t="inlineStr">
        <is>
          <t>Wheelbase (L)</t>
        </is>
      </c>
      <c r="B6" s="17" t="n">
        <v>1.594</v>
      </c>
      <c r="C6" s="10" t="inlineStr">
        <is>
          <t>m</t>
        </is>
      </c>
      <c r="D6" s="10" t="inlineStr">
        <is>
          <t>SUS-003</t>
        </is>
      </c>
    </row>
    <row r="7">
      <c r="A7" s="4" t="inlineStr">
        <is>
          <t>Front Track (t_F)</t>
        </is>
      </c>
      <c r="B7" s="17" t="n">
        <v>1.277</v>
      </c>
      <c r="C7" s="10" t="inlineStr">
        <is>
          <t>m</t>
        </is>
      </c>
      <c r="D7" s="10" t="inlineStr">
        <is>
          <t>SUS-004</t>
        </is>
      </c>
    </row>
    <row r="8">
      <c r="A8" s="4" t="inlineStr">
        <is>
          <t>Rear Track (t_R)</t>
        </is>
      </c>
      <c r="B8" s="17" t="n">
        <v>1.271</v>
      </c>
      <c r="C8" s="10" t="inlineStr">
        <is>
          <t>m</t>
        </is>
      </c>
      <c r="D8" s="10" t="inlineStr">
        <is>
          <t>SUS-005</t>
        </is>
      </c>
    </row>
    <row r="9">
      <c r="A9" s="4" t="inlineStr">
        <is>
          <t>CG -&gt; eixo dianteiro (a)</t>
        </is>
      </c>
      <c r="B9" s="16" t="n">
        <v>0.82203</v>
      </c>
      <c r="C9" s="10" t="inlineStr">
        <is>
          <t>m</t>
        </is>
      </c>
      <c r="D9" s="10" t="inlineStr">
        <is>
          <t>SUS-006</t>
        </is>
      </c>
    </row>
    <row r="10">
      <c r="A10" s="4" t="inlineStr">
        <is>
          <t>CG -&gt; eixo traseiro (b)</t>
        </is>
      </c>
      <c r="B10" s="16" t="n">
        <v>0.77197</v>
      </c>
      <c r="C10" s="10" t="inlineStr">
        <is>
          <t>m</t>
        </is>
      </c>
      <c r="D10" s="10" t="inlineStr">
        <is>
          <t>SUS-006</t>
        </is>
      </c>
    </row>
    <row r="11">
      <c r="A11" s="18" t="inlineStr">
        <is>
          <t>Checagem: a + b = L (deve ser 0)</t>
        </is>
      </c>
      <c r="B11" s="19">
        <f>'05_VEHICLE'!$B$9+'05_VEHICLE'!$B$10-'05_VEHICLE'!$B$6</f>
        <v/>
      </c>
    </row>
    <row r="13">
      <c r="A13" s="3" t="inlineStr">
        <is>
          <t>Massas não-suspensas</t>
        </is>
      </c>
    </row>
    <row r="14">
      <c r="A14" s="4" t="inlineStr">
        <is>
          <t>Massa não-suspensa dianteira</t>
        </is>
      </c>
      <c r="B14" s="16" t="n">
        <v>15</v>
      </c>
      <c r="C14" s="10" t="inlineStr">
        <is>
          <t>kg</t>
        </is>
      </c>
      <c r="D14" s="10" t="inlineStr">
        <is>
          <t>SUS-007</t>
        </is>
      </c>
    </row>
    <row r="15">
      <c r="A15" s="4" t="inlineStr">
        <is>
          <t>Massa não-suspensa traseira</t>
        </is>
      </c>
      <c r="B15" s="16" t="n">
        <v>18</v>
      </c>
      <c r="C15" s="10" t="inlineStr">
        <is>
          <t>kg</t>
        </is>
      </c>
      <c r="D15" s="10" t="inlineStr">
        <is>
          <t>SUS-008</t>
        </is>
      </c>
    </row>
    <row r="16">
      <c r="A16" s="4" t="inlineStr">
        <is>
          <t>Altura CG não-suspenso dianteiro</t>
        </is>
      </c>
      <c r="B16" s="16" t="n">
        <v>0.254</v>
      </c>
      <c r="C16" s="10" t="inlineStr">
        <is>
          <t>m</t>
        </is>
      </c>
      <c r="D16" s="10" t="inlineStr">
        <is>
          <t>SUS-010</t>
        </is>
      </c>
    </row>
    <row r="17">
      <c r="A17" s="4" t="inlineStr">
        <is>
          <t>Altura CG não-suspenso traseiro</t>
        </is>
      </c>
      <c r="B17" s="16" t="n">
        <v>0.254</v>
      </c>
      <c r="C17" s="10" t="inlineStr">
        <is>
          <t>m</t>
        </is>
      </c>
      <c r="D17" s="10" t="inlineStr">
        <is>
          <t>SUS-011</t>
        </is>
      </c>
    </row>
    <row r="19">
      <c r="A19" s="3" t="inlineStr">
        <is>
          <t>Referência de solo</t>
        </is>
      </c>
    </row>
    <row r="20">
      <c r="A20" s="4" t="inlineStr">
        <is>
          <t>Ground Plane Z (offset origem CAD -&gt; solo)</t>
        </is>
      </c>
      <c r="B20" s="20" t="n">
        <v>-0.05</v>
      </c>
      <c r="C20" s="10" t="inlineStr">
        <is>
          <t>m</t>
        </is>
      </c>
      <c r="D20" s="10" t="inlineStr">
        <is>
          <t>SUS-000</t>
        </is>
      </c>
    </row>
    <row r="22">
      <c r="A22" s="3" t="inlineStr">
        <is>
          <t>Calculado (SUS-009 / SUS-012)</t>
        </is>
      </c>
    </row>
    <row r="23">
      <c r="A23" s="4" t="inlineStr">
        <is>
          <t>Massa suspensa total</t>
        </is>
      </c>
      <c r="B23" s="21">
        <f>'05_VEHICLE'!$B$4-'05_VEHICLE'!$B$14-'05_VEHICLE'!$B$15</f>
        <v/>
      </c>
      <c r="C23" s="10" t="inlineStr">
        <is>
          <t>kg</t>
        </is>
      </c>
      <c r="D23" s="10" t="inlineStr">
        <is>
          <t>SUS-009</t>
        </is>
      </c>
    </row>
    <row r="24">
      <c r="A24" s="4" t="inlineStr">
        <is>
          <t>Altura do CG suspenso (h_s)</t>
        </is>
      </c>
      <c r="B24" s="21">
        <f>('05_VEHICLE'!$B$4*'05_VEHICLE'!$B$5-'05_VEHICLE'!$B$14*'05_VEHICLE'!$B$16-'05_VEHICLE'!$B$15*'05_VEHICLE'!$B$17)/'05_VEHICLE'!$B$23</f>
        <v/>
      </c>
      <c r="C24" s="10" t="inlineStr">
        <is>
          <t>m</t>
        </is>
      </c>
      <c r="D24" s="10" t="inlineStr">
        <is>
          <t>SUS-012</t>
        </is>
      </c>
    </row>
  </sheetData>
  <mergeCells count="5">
    <mergeCell ref="A19:E19"/>
    <mergeCell ref="A1:E1"/>
    <mergeCell ref="A13:E13"/>
    <mergeCell ref="A22:E22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55" customWidth="1" min="5" max="5"/>
  </cols>
  <sheetData>
    <row r="1" ht="22" customHeight="1">
      <c r="A1" s="1" t="inlineStr">
        <is>
          <t>06_SUSPENSION</t>
        </is>
      </c>
    </row>
    <row r="3">
      <c r="A3" s="3" t="inlineStr">
        <is>
          <t>Mola / Motion Ratio</t>
        </is>
      </c>
    </row>
    <row r="4">
      <c r="A4" s="4" t="inlineStr">
        <is>
          <t>Spring Rate dianteiro</t>
        </is>
      </c>
      <c r="B4" s="16" t="n">
        <v>49909.24</v>
      </c>
      <c r="C4" s="10" t="inlineStr">
        <is>
          <t>N/m</t>
        </is>
      </c>
      <c r="D4" s="10" t="inlineStr">
        <is>
          <t>SUS-203</t>
        </is>
      </c>
    </row>
    <row r="5">
      <c r="A5" s="4" t="inlineStr">
        <is>
          <t>Spring Rate traseiro</t>
        </is>
      </c>
      <c r="B5" s="16" t="n">
        <v>57052.22</v>
      </c>
      <c r="C5" s="10" t="inlineStr">
        <is>
          <t>N/m</t>
        </is>
      </c>
      <c r="D5" s="10" t="inlineStr">
        <is>
          <t>SUS-203</t>
        </is>
      </c>
    </row>
    <row r="6">
      <c r="A6" s="4" t="inlineStr">
        <is>
          <t>Motion Ratio dianteiro [wheel/spring]</t>
        </is>
      </c>
      <c r="B6" s="17" t="n">
        <v>1.76</v>
      </c>
      <c r="C6" s="10" t="inlineStr">
        <is>
          <t>-</t>
        </is>
      </c>
      <c r="D6" s="10" t="inlineStr">
        <is>
          <t>SUS-201</t>
        </is>
      </c>
    </row>
    <row r="7">
      <c r="A7" s="4" t="inlineStr">
        <is>
          <t>Motion Ratio traseiro [wheel/spring]</t>
        </is>
      </c>
      <c r="B7" s="17" t="n">
        <v>1.76</v>
      </c>
      <c r="C7" s="10" t="inlineStr">
        <is>
          <t>-</t>
        </is>
      </c>
      <c r="D7" s="10" t="inlineStr">
        <is>
          <t>SUS-201</t>
        </is>
      </c>
    </row>
    <row r="9">
      <c r="A9" s="3" t="inlineStr">
        <is>
          <t>Anti-Roll Bar (simplificação V1 — sem cinemática interna)</t>
        </is>
      </c>
    </row>
    <row r="10">
      <c r="A10" s="4" t="inlineStr">
        <is>
          <t>K_ARB dianteiro</t>
        </is>
      </c>
      <c r="B10" s="16" t="n">
        <v>5012.32</v>
      </c>
      <c r="C10" s="10" t="inlineStr">
        <is>
          <t>N*m/rad</t>
        </is>
      </c>
      <c r="D10" s="10" t="inlineStr">
        <is>
          <t>SUS-206</t>
        </is>
      </c>
    </row>
    <row r="11">
      <c r="A11" s="4" t="inlineStr">
        <is>
          <t>K_ARB traseiro</t>
        </is>
      </c>
      <c r="B11" s="16" t="n">
        <v>10.78</v>
      </c>
      <c r="C11" s="10" t="inlineStr">
        <is>
          <t>N*m/rad</t>
        </is>
      </c>
      <c r="D11" s="10" t="inlineStr">
        <is>
          <t>SUS-207</t>
        </is>
      </c>
    </row>
    <row r="13">
      <c r="A13" s="3" t="inlineStr">
        <is>
          <t>Roll Center — PROVISÓRIO (Fase 2 substitui por REFERENCE do OptimumKinematics)</t>
        </is>
      </c>
    </row>
    <row r="14">
      <c r="A14" s="4" t="inlineStr">
        <is>
          <t>Roll Center dianteiro (RH estático)</t>
        </is>
      </c>
      <c r="B14" s="22" t="n">
        <v>0.0675</v>
      </c>
      <c r="C14" s="10" t="inlineStr">
        <is>
          <t>m</t>
        </is>
      </c>
      <c r="D14" s="10" t="inlineStr">
        <is>
          <t>SUS-401-F</t>
        </is>
      </c>
    </row>
    <row r="15">
      <c r="A15" s="4" t="inlineStr">
        <is>
          <t>Roll Center traseiro (RH estático)</t>
        </is>
      </c>
      <c r="B15" s="22" t="n">
        <v>0.11</v>
      </c>
      <c r="C15" s="10" t="inlineStr">
        <is>
          <t>m</t>
        </is>
      </c>
      <c r="D15" s="10" t="inlineStr">
        <is>
          <t>SUS-401-R</t>
        </is>
      </c>
    </row>
    <row r="17">
      <c r="A17" s="3" t="inlineStr">
        <is>
          <t>Calculado — Wheel Rate / Roll Stiffness (SUS-202/206/207/208)</t>
        </is>
      </c>
    </row>
    <row r="18">
      <c r="A18" s="4" t="inlineStr">
        <is>
          <t>Wheel Rate dianteiro</t>
        </is>
      </c>
      <c r="B18" s="21">
        <f>'06_SUSPENSION'!$B$4/'06_SUSPENSION'!$B$6^2</f>
        <v/>
      </c>
      <c r="C18" s="10" t="inlineStr">
        <is>
          <t>N/m</t>
        </is>
      </c>
      <c r="D18" s="10" t="inlineStr">
        <is>
          <t>SUS-202</t>
        </is>
      </c>
    </row>
    <row r="19">
      <c r="A19" s="4" t="inlineStr">
        <is>
          <t>Wheel Rate traseiro</t>
        </is>
      </c>
      <c r="B19" s="21">
        <f>'06_SUSPENSION'!$B$5/'06_SUSPENSION'!$B$7^2</f>
        <v/>
      </c>
      <c r="C19" s="10" t="inlineStr">
        <is>
          <t>N/m</t>
        </is>
      </c>
      <c r="D19" s="10" t="inlineStr">
        <is>
          <t>SUS-202</t>
        </is>
      </c>
    </row>
    <row r="20">
      <c r="A20" s="4" t="inlineStr">
        <is>
          <t>Roll Stiffness sem ARB - dianteira</t>
        </is>
      </c>
      <c r="B20" s="21">
        <f>'06_SUSPENSION'!$B$18*'05_VEHICLE'!$B$7^2/2</f>
        <v/>
      </c>
      <c r="C20" s="10" t="inlineStr">
        <is>
          <t>N*m/rad</t>
        </is>
      </c>
      <c r="D20" s="10" t="inlineStr">
        <is>
          <t>SUS-206</t>
        </is>
      </c>
    </row>
    <row r="21">
      <c r="A21" s="4" t="inlineStr">
        <is>
          <t>Roll Stiffness sem ARB - traseira</t>
        </is>
      </c>
      <c r="B21" s="21">
        <f>'06_SUSPENSION'!$B$19*'05_VEHICLE'!$B$8^2/2</f>
        <v/>
      </c>
      <c r="C21" s="10" t="inlineStr">
        <is>
          <t>N*m/rad</t>
        </is>
      </c>
      <c r="D21" s="10" t="inlineStr">
        <is>
          <t>SUS-207</t>
        </is>
      </c>
    </row>
    <row r="22">
      <c r="A22" s="4" t="inlineStr">
        <is>
          <t>Roll Stiffness dianteira (K_phiF)</t>
        </is>
      </c>
      <c r="B22" s="21">
        <f>'06_SUSPENSION'!$B$20+'06_SUSPENSION'!$B$10</f>
        <v/>
      </c>
      <c r="C22" s="10" t="inlineStr">
        <is>
          <t>N*m/rad</t>
        </is>
      </c>
      <c r="D22" s="10" t="inlineStr">
        <is>
          <t>SUS-206</t>
        </is>
      </c>
    </row>
    <row r="23">
      <c r="A23" s="4" t="inlineStr">
        <is>
          <t>Roll Stiffness traseira (K_phiR)</t>
        </is>
      </c>
      <c r="B23" s="21">
        <f>'06_SUSPENSION'!$B$21+'06_SUSPENSION'!$B$11</f>
        <v/>
      </c>
      <c r="C23" s="10" t="inlineStr">
        <is>
          <t>N*m/rad</t>
        </is>
      </c>
      <c r="D23" s="10" t="inlineStr">
        <is>
          <t>SUS-207</t>
        </is>
      </c>
    </row>
    <row r="24">
      <c r="A24" s="4" t="inlineStr">
        <is>
          <t>Distribuição de rigidez - dianteira (lambda_f)</t>
        </is>
      </c>
      <c r="B24" s="21">
        <f>'06_SUSPENSION'!$B$22/('06_SUSPENSION'!$B$22+'06_SUSPENSION'!$B$23)</f>
        <v/>
      </c>
      <c r="C24" s="10" t="inlineStr">
        <is>
          <t>-</t>
        </is>
      </c>
      <c r="D24" s="10" t="inlineStr">
        <is>
          <t>SUS-208</t>
        </is>
      </c>
    </row>
    <row r="25">
      <c r="A25" s="4" t="inlineStr">
        <is>
          <t>Distribuição de rigidez - traseira (lambda_r)</t>
        </is>
      </c>
      <c r="B25" s="21">
        <f>'06_SUSPENSION'!$B$23/('06_SUSPENSION'!$B$22+'06_SUSPENSION'!$B$23)</f>
        <v/>
      </c>
      <c r="C25" s="10" t="inlineStr">
        <is>
          <t>-</t>
        </is>
      </c>
      <c r="D25" s="10" t="inlineStr">
        <is>
          <t>SUS-208</t>
        </is>
      </c>
    </row>
    <row r="27">
      <c r="A27" s="3" t="inlineStr">
        <is>
          <t>Massa suspensa por canto (SUS-009, distribuição)</t>
        </is>
      </c>
    </row>
    <row r="28">
      <c r="A28" s="4" t="inlineStr">
        <is>
          <t>Massa suspensa por canto - dianteira</t>
        </is>
      </c>
      <c r="B28" s="21">
        <f>'05_VEHICLE'!$B$23*('05_VEHICLE'!$B$10/'05_VEHICLE'!$B$6)/2</f>
        <v/>
      </c>
      <c r="C28" s="10" t="inlineStr">
        <is>
          <t>kg</t>
        </is>
      </c>
      <c r="D28" s="10" t="inlineStr">
        <is>
          <t>SUS-009</t>
        </is>
      </c>
    </row>
    <row r="29">
      <c r="A29" s="4" t="inlineStr">
        <is>
          <t>Massa suspensa por canto - traseira</t>
        </is>
      </c>
      <c r="B29" s="21">
        <f>'05_VEHICLE'!$B$23*('05_VEHICLE'!$B$9/'05_VEHICLE'!$B$6)/2</f>
        <v/>
      </c>
      <c r="C29" s="10" t="inlineStr">
        <is>
          <t>kg</t>
        </is>
      </c>
      <c r="D29" s="10" t="inlineStr">
        <is>
          <t>SUS-009</t>
        </is>
      </c>
    </row>
    <row r="31">
      <c r="A31" s="3" t="inlineStr">
        <is>
          <t>Frequência Natural (SUS-205)</t>
        </is>
      </c>
    </row>
    <row r="32">
      <c r="A32" s="4" t="inlineStr">
        <is>
          <t>Frequência Natural dianteira</t>
        </is>
      </c>
      <c r="B32" s="21">
        <f>(1/(2*PI()))*SQRT('06_SUSPENSION'!$B$18/'06_SUSPENSION'!$B$28)</f>
        <v/>
      </c>
      <c r="C32" s="10" t="inlineStr">
        <is>
          <t>Hz</t>
        </is>
      </c>
      <c r="D32" s="10" t="inlineStr">
        <is>
          <t>SUS-205</t>
        </is>
      </c>
    </row>
    <row r="33">
      <c r="A33" s="4" t="inlineStr">
        <is>
          <t>Frequência Natural traseira</t>
        </is>
      </c>
      <c r="B33" s="21">
        <f>(1/(2*PI()))*SQRT('06_SUSPENSION'!$B$19/'06_SUSPENSION'!$B$29)</f>
        <v/>
      </c>
      <c r="C33" s="10" t="inlineStr">
        <is>
          <t>Hz</t>
        </is>
      </c>
      <c r="D33" s="10" t="inlineStr">
        <is>
          <t>SUS-205</t>
        </is>
      </c>
    </row>
    <row r="34">
      <c r="A34" s="3" t="inlineStr">
        <is>
          <t>Anti-Dive / Anti-Squat (SUS-301/302) — Lifecycle: DRAFT-&gt;CHECKED</t>
        </is>
      </c>
    </row>
    <row r="35">
      <c r="A35" s="10" t="inlineStr">
        <is>
          <t>Metodologia FROZEN (Milliken); linha geométrica (contact patch vs. wheel center) pendente de confirmação com a config. real de freio/trem de força.</t>
        </is>
      </c>
    </row>
    <row r="36">
      <c r="A36" s="4" t="inlineStr">
        <is>
          <t>Front Brake Force Fraction (FB_f)</t>
        </is>
      </c>
      <c r="B36" s="20" t="n">
        <v>0.6</v>
      </c>
      <c r="C36" s="10" t="inlineStr">
        <is>
          <t>-</t>
        </is>
      </c>
      <c r="D36" s="10" t="inlineStr">
        <is>
          <t>SUS-013</t>
        </is>
      </c>
    </row>
    <row r="37">
      <c r="A37" s="4" t="inlineStr">
        <is>
          <t>Rear Traction Force Fraction (TF_r)</t>
        </is>
      </c>
      <c r="B37" s="16" t="n">
        <v>1</v>
      </c>
      <c r="C37" s="10" t="inlineStr">
        <is>
          <t>-</t>
        </is>
      </c>
      <c r="D37" s="10" t="inlineStr">
        <is>
          <t>SUS-014</t>
        </is>
      </c>
    </row>
    <row r="38">
      <c r="A38" s="4" t="inlineStr">
        <is>
          <t>tan(phi_f) — dianteiro (a partir do IC lateral)</t>
        </is>
      </c>
      <c r="B38" s="21">
        <f>'07_KINEMATICS'!$B$10/'07_KINEMATICS'!$B$11</f>
        <v/>
      </c>
      <c r="C38" s="10" t="inlineStr">
        <is>
          <t>-</t>
        </is>
      </c>
      <c r="D38" s="10" t="inlineStr">
        <is>
          <t>SUS-406-F</t>
        </is>
      </c>
    </row>
    <row r="39">
      <c r="A39" s="4" t="inlineStr">
        <is>
          <t>tan(phi_r) — traseiro (a partir do IC lateral)</t>
        </is>
      </c>
      <c r="B39" s="21">
        <f>'07_KINEMATICS'!$B$12/'07_KINEMATICS'!$B$13</f>
        <v/>
      </c>
      <c r="C39" s="10" t="inlineStr">
        <is>
          <t>-</t>
        </is>
      </c>
      <c r="D39" s="10" t="inlineStr">
        <is>
          <t>SUS-406-R</t>
        </is>
      </c>
    </row>
    <row r="40">
      <c r="A40" s="4" t="inlineStr">
        <is>
          <t>Anti-Dive (%)</t>
        </is>
      </c>
      <c r="B40" s="21">
        <f>'06_SUSPENSION'!$B$36*'06_SUSPENSION'!$B$38*('05_VEHICLE'!$B$6/'05_VEHICLE'!$B$5)*100</f>
        <v/>
      </c>
      <c r="C40" s="10" t="inlineStr">
        <is>
          <t>%</t>
        </is>
      </c>
      <c r="D40" s="10" t="inlineStr">
        <is>
          <t>SUS-301</t>
        </is>
      </c>
    </row>
    <row r="41">
      <c r="A41" s="4" t="inlineStr">
        <is>
          <t>Anti-Squat (%)</t>
        </is>
      </c>
      <c r="B41" s="21">
        <f>'06_SUSPENSION'!$B$37*'06_SUSPENSION'!$B$39*('05_VEHICLE'!$B$6/'05_VEHICLE'!$B$5)*100</f>
        <v/>
      </c>
      <c r="C41" s="10" t="inlineStr">
        <is>
          <t>%</t>
        </is>
      </c>
      <c r="D41" s="10" t="inlineStr">
        <is>
          <t>SUS-302</t>
        </is>
      </c>
    </row>
    <row r="43">
      <c r="A43" s="3" t="inlineStr">
        <is>
          <t>Steering (SUS-601) — escopo reduzido, sem Ackermann/bump steer</t>
        </is>
      </c>
    </row>
    <row r="44">
      <c r="A44" s="4" t="inlineStr">
        <is>
          <t>Steering Ratio (SR)</t>
        </is>
      </c>
      <c r="B44" s="20" t="n">
        <v>4.5</v>
      </c>
      <c r="C44" s="10" t="inlineStr">
        <is>
          <t>-</t>
        </is>
      </c>
      <c r="D44" s="10" t="inlineStr">
        <is>
          <t>SUS-601</t>
        </is>
      </c>
    </row>
  </sheetData>
  <mergeCells count="10">
    <mergeCell ref="A34:E34"/>
    <mergeCell ref="A35:E35"/>
    <mergeCell ref="A43:E43"/>
    <mergeCell ref="A1:E1"/>
    <mergeCell ref="A13:E13"/>
    <mergeCell ref="A31:E31"/>
    <mergeCell ref="A17:E17"/>
    <mergeCell ref="A9:E9"/>
    <mergeCell ref="A27:E27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55" customWidth="1" min="5" max="5"/>
  </cols>
  <sheetData>
    <row r="1" ht="22" customHeight="1">
      <c r="A1" s="1" t="inlineStr">
        <is>
          <t>07_KINEMATICS</t>
        </is>
      </c>
    </row>
    <row r="3">
      <c r="A3" s="3" t="inlineStr">
        <is>
          <t>Status: PROVISÓRIO (estrutura pronta; valores abaixo NÃO vêm do OptimumKinematics ainda)</t>
        </is>
      </c>
    </row>
    <row r="4">
      <c r="A4" s="23" t="inlineStr">
        <is>
          <t>Todos os campos desta aba são PLACEHOLDER até a Fase 2 (integração real com OptimumKinematics). Servem para a fórmula de Anti-Dive/Anti-Squat funcionar de ponta a ponta antes de existir dado real.</t>
        </is>
      </c>
    </row>
    <row r="6">
      <c r="A6" s="3" t="inlineStr">
        <is>
          <t>Kinematic Operating Point (KOP) ativo</t>
        </is>
      </c>
    </row>
    <row r="7">
      <c r="A7" s="4" t="inlineStr">
        <is>
          <t>KOP</t>
        </is>
      </c>
      <c r="B7" s="9" t="inlineStr">
        <is>
          <t>Ride Height Estático (RH)</t>
        </is>
      </c>
      <c r="C7" s="10" t="inlineStr">
        <is>
          <t>-</t>
        </is>
      </c>
      <c r="D7" s="10" t="inlineStr">
        <is>
          <t>-</t>
        </is>
      </c>
    </row>
    <row r="9">
      <c r="A9" s="3" t="inlineStr">
        <is>
          <t>Instant Center — Vista Lateral (SUS-406) — usado por Anti-Dive/Anti-Squat</t>
        </is>
      </c>
    </row>
    <row r="10">
      <c r="A10" s="4" t="inlineStr">
        <is>
          <t>Altura do IC lateral dianteiro (z_ICF)</t>
        </is>
      </c>
      <c r="B10" s="22" t="n">
        <v>0.2</v>
      </c>
      <c r="C10" s="10" t="inlineStr">
        <is>
          <t>m</t>
        </is>
      </c>
      <c r="D10" s="10" t="inlineStr">
        <is>
          <t>SUS-406-F</t>
        </is>
      </c>
    </row>
    <row r="11">
      <c r="A11" s="4" t="inlineStr">
        <is>
          <t>Distância contact patch-&gt;IC, dianteiro (vista lateral)</t>
        </is>
      </c>
      <c r="B11" s="22" t="n">
        <v>2.5</v>
      </c>
      <c r="C11" s="10" t="inlineStr">
        <is>
          <t>m</t>
        </is>
      </c>
      <c r="D11" s="10" t="inlineStr">
        <is>
          <t>SUS-406-F</t>
        </is>
      </c>
    </row>
    <row r="12">
      <c r="A12" s="4" t="inlineStr">
        <is>
          <t>Altura do IC lateral traseiro (z_ICR)</t>
        </is>
      </c>
      <c r="B12" s="22" t="n">
        <v>0.25</v>
      </c>
      <c r="C12" s="10" t="inlineStr">
        <is>
          <t>m</t>
        </is>
      </c>
      <c r="D12" s="10" t="inlineStr">
        <is>
          <t>SUS-406-R</t>
        </is>
      </c>
    </row>
    <row r="13">
      <c r="A13" s="4" t="inlineStr">
        <is>
          <t>Distância contact patch-&gt;IC, traseiro (vista lateral)</t>
        </is>
      </c>
      <c r="B13" s="22" t="n">
        <v>2</v>
      </c>
      <c r="C13" s="10" t="inlineStr">
        <is>
          <t>m</t>
        </is>
      </c>
      <c r="D13" s="10" t="inlineStr">
        <is>
          <t>SUS-406-R</t>
        </is>
      </c>
    </row>
    <row r="15">
      <c r="A15" s="3" t="inlineStr">
        <is>
          <t>Instant Center — Vista Frontal (SUS-403) — cross-check de RC (SUS-402) via Python</t>
        </is>
      </c>
    </row>
    <row r="16">
      <c r="A16" s="10" t="inlineStr">
        <is>
          <t>SUS-402 (RC via interseção geométrica do IC frontal) foi formalizado e implementado em kinematics_model_V2_0.py (V2) - testado 11/11 (SUS-402 e SUS-406) com geometria sintética (DR-009). NÃO implementado em fórmula do Excel (complexidade de dupla interseção 2D não compensa em planilha). Os campos abaixo alimentariam esse script quando hardpoints reais existirem; hoje são só posição de referência.</t>
        </is>
      </c>
    </row>
    <row r="17">
      <c r="A17" s="4" t="inlineStr">
        <is>
          <t>Y do IC frontal dianteiro</t>
        </is>
      </c>
      <c r="B17" s="22" t="n">
        <v>1.5</v>
      </c>
      <c r="C17" s="10" t="inlineStr">
        <is>
          <t>m</t>
        </is>
      </c>
      <c r="D17" s="10" t="inlineStr">
        <is>
          <t>SUS-403-F</t>
        </is>
      </c>
    </row>
    <row r="18">
      <c r="A18" s="4" t="inlineStr">
        <is>
          <t>Z do IC frontal dianteiro</t>
        </is>
      </c>
      <c r="B18" s="22" t="n">
        <v>0.15</v>
      </c>
      <c r="C18" s="10" t="inlineStr">
        <is>
          <t>m</t>
        </is>
      </c>
      <c r="D18" s="10" t="inlineStr">
        <is>
          <t>SUS-403-F</t>
        </is>
      </c>
    </row>
    <row r="19">
      <c r="A19" s="4" t="inlineStr">
        <is>
          <t>Y do IC frontal traseiro</t>
        </is>
      </c>
      <c r="B19" s="22" t="n">
        <v>1.8</v>
      </c>
      <c r="C19" s="10" t="inlineStr">
        <is>
          <t>m</t>
        </is>
      </c>
      <c r="D19" s="10" t="inlineStr">
        <is>
          <t>SUS-403-R</t>
        </is>
      </c>
    </row>
    <row r="20">
      <c r="A20" s="4" t="inlineStr">
        <is>
          <t>Z do IC frontal traseiro</t>
        </is>
      </c>
      <c r="B20" s="22" t="n">
        <v>0.2</v>
      </c>
      <c r="C20" s="10" t="inlineStr">
        <is>
          <t>m</t>
        </is>
      </c>
      <c r="D20" s="10" t="inlineStr">
        <is>
          <t>SUS-403-R</t>
        </is>
      </c>
    </row>
    <row r="22">
      <c r="A22" s="3" t="inlineStr">
        <is>
          <t>Camber Gain (SUS-404) — não alimenta nenhum cálculo de carga da V1, só REFERENCE</t>
        </is>
      </c>
    </row>
    <row r="23">
      <c r="A23" s="4" t="inlineStr">
        <is>
          <t>Camber Gain dianteiro (dCamber/dz)</t>
        </is>
      </c>
      <c r="B23" s="22" t="n">
        <v>-0.6</v>
      </c>
      <c r="C23" s="10" t="inlineStr">
        <is>
          <t>deg/mm</t>
        </is>
      </c>
      <c r="D23" s="10" t="inlineStr">
        <is>
          <t>SUS-404-F</t>
        </is>
      </c>
    </row>
    <row r="24">
      <c r="A24" s="4" t="inlineStr">
        <is>
          <t>Camber Gain traseiro (dCamber/dz)</t>
        </is>
      </c>
      <c r="B24" s="22" t="n">
        <v>-0.5</v>
      </c>
      <c r="C24" s="10" t="inlineStr">
        <is>
          <t>deg/mm</t>
        </is>
      </c>
      <c r="D24" s="10" t="inlineStr">
        <is>
          <t>SUS-404-R</t>
        </is>
      </c>
    </row>
    <row r="26">
      <c r="A26" s="3" t="inlineStr">
        <is>
          <t>Toe Curve (SUS-405) — não alimenta nenhum cálculo de carga da V1, só REFERENCE</t>
        </is>
      </c>
    </row>
    <row r="27">
      <c r="A27" s="4" t="inlineStr">
        <is>
          <t>Toe Gain dianteiro (dToe/dz)</t>
        </is>
      </c>
      <c r="B27" s="22" t="n">
        <v>0.05</v>
      </c>
      <c r="C27" s="10" t="inlineStr">
        <is>
          <t>deg/mm</t>
        </is>
      </c>
      <c r="D27" s="10" t="inlineStr">
        <is>
          <t>SUS-405-F</t>
        </is>
      </c>
    </row>
    <row r="28">
      <c r="A28" s="4" t="inlineStr">
        <is>
          <t>Toe Gain traseiro (dToe/dz)</t>
        </is>
      </c>
      <c r="B28" s="22" t="n">
        <v>0.05</v>
      </c>
      <c r="C28" s="10" t="inlineStr">
        <is>
          <t>deg/mm</t>
        </is>
      </c>
      <c r="D28" s="10" t="inlineStr">
        <is>
          <t>SUS-405-R</t>
        </is>
      </c>
    </row>
    <row r="30">
      <c r="A30" s="3" t="inlineStr">
        <is>
          <t>Curso de Suspensão Disponível — para checagem contra REQ-004 (&gt;=50mm)</t>
        </is>
      </c>
    </row>
    <row r="31">
      <c r="A31" s="4" t="inlineStr">
        <is>
          <t>Curso útil disponível - dianteiro (bump+rebound)</t>
        </is>
      </c>
      <c r="B31" s="22" t="n">
        <v>60</v>
      </c>
      <c r="C31" s="10" t="inlineStr">
        <is>
          <t>mm</t>
        </is>
      </c>
      <c r="D31" s="10" t="inlineStr">
        <is>
          <t>-</t>
        </is>
      </c>
    </row>
    <row r="32">
      <c r="A32" s="4" t="inlineStr">
        <is>
          <t>Curso útil disponível - traseiro (bump+rebound)</t>
        </is>
      </c>
      <c r="B32" s="22" t="n">
        <v>65</v>
      </c>
      <c r="C32" s="10" t="inlineStr">
        <is>
          <t>mm</t>
        </is>
      </c>
      <c r="D32" s="10" t="inlineStr">
        <is>
          <t>-</t>
        </is>
      </c>
    </row>
    <row r="34">
      <c r="A34" s="3" t="inlineStr">
        <is>
          <t>V2.0 — Resultados do solver cinemático (Python; cross-check, nunca REFERENCE)</t>
        </is>
      </c>
    </row>
    <row r="35" ht="62" customHeight="1">
      <c r="A35" s="23" t="inlineStr">
        <is>
          <t>Origem: kinematics_model_V2_0.py -&gt; kinematics_sweep_&lt;canto&gt;.csv (Data Contract V2.0, seção 6). Atualização manual até existir bridge (DR-008). Preencher SOMENTE com hardpoints reais (Status diferente de SYNTHETIC). Enquanto não houver, os campos ficam N/A. O Excel não recalcula cinemática (DR-009).</t>
        </is>
      </c>
    </row>
    <row r="36">
      <c r="A36" s="4" t="inlineStr">
        <is>
          <t>Camber estático - dianteiro</t>
        </is>
      </c>
      <c r="B36" s="22" t="inlineStr">
        <is>
          <t>N/A</t>
        </is>
      </c>
      <c r="C36" s="10" t="inlineStr">
        <is>
          <t>deg</t>
        </is>
      </c>
      <c r="D36" s="10" t="inlineStr">
        <is>
          <t>SUS-407</t>
        </is>
      </c>
      <c r="E36" t="inlineStr">
        <is>
          <t>sem hardpoints reais</t>
        </is>
      </c>
    </row>
    <row r="37">
      <c r="A37" s="4" t="inlineStr">
        <is>
          <t>Camber estático - traseiro</t>
        </is>
      </c>
      <c r="B37" s="22" t="inlineStr">
        <is>
          <t>N/A</t>
        </is>
      </c>
      <c r="C37" s="10" t="inlineStr">
        <is>
          <t>deg</t>
        </is>
      </c>
      <c r="D37" s="10" t="inlineStr">
        <is>
          <t>SUS-407</t>
        </is>
      </c>
      <c r="E37" t="inlineStr">
        <is>
          <t>sem hardpoints reais</t>
        </is>
      </c>
    </row>
    <row r="38">
      <c r="A38" s="4" t="inlineStr">
        <is>
          <t>Camber gain (dγ/dz) - dianteiro</t>
        </is>
      </c>
      <c r="B38" s="22" t="inlineStr">
        <is>
          <t>N/A</t>
        </is>
      </c>
      <c r="C38" s="10" t="inlineStr">
        <is>
          <t>deg/mm</t>
        </is>
      </c>
      <c r="D38" s="10" t="inlineStr">
        <is>
          <t>SUS-407</t>
        </is>
      </c>
      <c r="E38" t="inlineStr">
        <is>
          <t>sem hardpoints reais</t>
        </is>
      </c>
    </row>
    <row r="39">
      <c r="A39" s="4" t="inlineStr">
        <is>
          <t>Camber gain (dγ/dz) - traseiro</t>
        </is>
      </c>
      <c r="B39" s="22" t="inlineStr">
        <is>
          <t>N/A</t>
        </is>
      </c>
      <c r="C39" s="10" t="inlineStr">
        <is>
          <t>deg/mm</t>
        </is>
      </c>
      <c r="D39" s="10" t="inlineStr">
        <is>
          <t>SUS-407</t>
        </is>
      </c>
      <c r="E39" t="inlineStr">
        <is>
          <t>sem hardpoints reais</t>
        </is>
      </c>
    </row>
    <row r="40">
      <c r="A40" s="4" t="inlineStr">
        <is>
          <t>Toe estático - dianteiro</t>
        </is>
      </c>
      <c r="B40" s="22" t="inlineStr">
        <is>
          <t>N/A</t>
        </is>
      </c>
      <c r="C40" s="10" t="inlineStr">
        <is>
          <t>deg</t>
        </is>
      </c>
      <c r="D40" s="10" t="inlineStr">
        <is>
          <t>SUS-408</t>
        </is>
      </c>
      <c r="E40" t="inlineStr">
        <is>
          <t>sem hardpoints reais</t>
        </is>
      </c>
    </row>
    <row r="41">
      <c r="A41" s="4" t="inlineStr">
        <is>
          <t>Toe estático - traseiro</t>
        </is>
      </c>
      <c r="B41" s="22" t="inlineStr">
        <is>
          <t>N/A</t>
        </is>
      </c>
      <c r="C41" s="10" t="inlineStr">
        <is>
          <t>deg</t>
        </is>
      </c>
      <c r="D41" s="10" t="inlineStr">
        <is>
          <t>SUS-408</t>
        </is>
      </c>
      <c r="E41" t="inlineStr">
        <is>
          <t>sem hardpoints reais</t>
        </is>
      </c>
    </row>
    <row r="42">
      <c r="A42" s="4" t="inlineStr">
        <is>
          <t>Bump steer (dδ/dz) - dianteiro</t>
        </is>
      </c>
      <c r="B42" s="22" t="inlineStr">
        <is>
          <t>N/A</t>
        </is>
      </c>
      <c r="C42" s="10" t="inlineStr">
        <is>
          <t>deg/mm</t>
        </is>
      </c>
      <c r="D42" s="10" t="inlineStr">
        <is>
          <t>SUS-408</t>
        </is>
      </c>
      <c r="E42" t="inlineStr">
        <is>
          <t>sem hardpoints reais</t>
        </is>
      </c>
    </row>
    <row r="43">
      <c r="A43" s="4" t="inlineStr">
        <is>
          <t>Bump steer (dδ/dz) - traseiro</t>
        </is>
      </c>
      <c r="B43" s="22" t="inlineStr">
        <is>
          <t>N/A</t>
        </is>
      </c>
      <c r="C43" s="10" t="inlineStr">
        <is>
          <t>deg/mm</t>
        </is>
      </c>
      <c r="D43" s="10" t="inlineStr">
        <is>
          <t>SUS-408</t>
        </is>
      </c>
      <c r="E43" t="inlineStr">
        <is>
          <t>sem hardpoints reais</t>
        </is>
      </c>
    </row>
    <row r="44">
      <c r="A44" s="4" t="inlineStr">
        <is>
          <t>Caster - dianteiro</t>
        </is>
      </c>
      <c r="B44" s="22" t="inlineStr">
        <is>
          <t>N/A</t>
        </is>
      </c>
      <c r="C44" s="10" t="inlineStr">
        <is>
          <t>deg</t>
        </is>
      </c>
      <c r="D44" s="10" t="inlineStr">
        <is>
          <t>SUS-410</t>
        </is>
      </c>
      <c r="E44" t="inlineStr">
        <is>
          <t>sem hardpoints reais</t>
        </is>
      </c>
    </row>
    <row r="45">
      <c r="A45" s="4" t="inlineStr">
        <is>
          <t>Caster - traseiro</t>
        </is>
      </c>
      <c r="B45" s="22" t="inlineStr">
        <is>
          <t>N/A</t>
        </is>
      </c>
      <c r="C45" s="10" t="inlineStr">
        <is>
          <t>deg</t>
        </is>
      </c>
      <c r="D45" s="10" t="inlineStr">
        <is>
          <t>SUS-410</t>
        </is>
      </c>
      <c r="E45" t="inlineStr">
        <is>
          <t>sem hardpoints reais</t>
        </is>
      </c>
    </row>
    <row r="46">
      <c r="A46" s="4" t="inlineStr">
        <is>
          <t>KPI - dianteiro</t>
        </is>
      </c>
      <c r="B46" s="22" t="inlineStr">
        <is>
          <t>N/A</t>
        </is>
      </c>
      <c r="C46" s="10" t="inlineStr">
        <is>
          <t>deg</t>
        </is>
      </c>
      <c r="D46" s="10" t="inlineStr">
        <is>
          <t>SUS-410</t>
        </is>
      </c>
      <c r="E46" t="inlineStr">
        <is>
          <t>sem hardpoints reais</t>
        </is>
      </c>
    </row>
    <row r="47">
      <c r="A47" s="4" t="inlineStr">
        <is>
          <t>KPI - traseiro</t>
        </is>
      </c>
      <c r="B47" s="22" t="inlineStr">
        <is>
          <t>N/A</t>
        </is>
      </c>
      <c r="C47" s="10" t="inlineStr">
        <is>
          <t>deg</t>
        </is>
      </c>
      <c r="D47" s="10" t="inlineStr">
        <is>
          <t>SUS-410</t>
        </is>
      </c>
      <c r="E47" t="inlineStr">
        <is>
          <t>sem hardpoints reais</t>
        </is>
      </c>
    </row>
    <row r="48">
      <c r="A48" s="4" t="inlineStr">
        <is>
          <t>Scrub radius - dianteiro</t>
        </is>
      </c>
      <c r="B48" s="22" t="inlineStr">
        <is>
          <t>N/A</t>
        </is>
      </c>
      <c r="C48" s="10" t="inlineStr">
        <is>
          <t>mm</t>
        </is>
      </c>
      <c r="D48" s="10" t="inlineStr">
        <is>
          <t>SUS-410</t>
        </is>
      </c>
      <c r="E48" t="inlineStr">
        <is>
          <t>sem hardpoints reais</t>
        </is>
      </c>
    </row>
    <row r="49">
      <c r="A49" s="4" t="inlineStr">
        <is>
          <t>Scrub radius - traseiro</t>
        </is>
      </c>
      <c r="B49" s="22" t="inlineStr">
        <is>
          <t>N/A</t>
        </is>
      </c>
      <c r="C49" s="10" t="inlineStr">
        <is>
          <t>mm</t>
        </is>
      </c>
      <c r="D49" s="10" t="inlineStr">
        <is>
          <t>SUS-410</t>
        </is>
      </c>
      <c r="E49" t="inlineStr">
        <is>
          <t>sem hardpoints reais</t>
        </is>
      </c>
    </row>
    <row r="50">
      <c r="A50" s="4" t="inlineStr">
        <is>
          <t>Mechanical trail - dianteiro</t>
        </is>
      </c>
      <c r="B50" s="22" t="inlineStr">
        <is>
          <t>N/A</t>
        </is>
      </c>
      <c r="C50" s="10" t="inlineStr">
        <is>
          <t>mm</t>
        </is>
      </c>
      <c r="D50" s="10" t="inlineStr">
        <is>
          <t>SUS-410</t>
        </is>
      </c>
      <c r="E50" t="inlineStr">
        <is>
          <t>sem hardpoints reais</t>
        </is>
      </c>
    </row>
    <row r="51">
      <c r="A51" s="4" t="inlineStr">
        <is>
          <t>Mechanical trail - traseiro</t>
        </is>
      </c>
      <c r="B51" s="22" t="inlineStr">
        <is>
          <t>N/A</t>
        </is>
      </c>
      <c r="C51" s="10" t="inlineStr">
        <is>
          <t>mm</t>
        </is>
      </c>
      <c r="D51" s="10" t="inlineStr">
        <is>
          <t>SUS-410</t>
        </is>
      </c>
      <c r="E51" t="inlineStr">
        <is>
          <t>sem hardpoints reais</t>
        </is>
      </c>
    </row>
    <row r="52">
      <c r="A52" s="4" t="inlineStr">
        <is>
          <t>Track change em ±30 mm - dianteiro</t>
        </is>
      </c>
      <c r="B52" s="22" t="inlineStr">
        <is>
          <t>N/A</t>
        </is>
      </c>
      <c r="C52" s="10" t="inlineStr">
        <is>
          <t>mm</t>
        </is>
      </c>
      <c r="D52" s="10" t="inlineStr">
        <is>
          <t>SUS-411</t>
        </is>
      </c>
      <c r="E52" t="inlineStr">
        <is>
          <t>sem hardpoints reais</t>
        </is>
      </c>
    </row>
    <row r="53">
      <c r="A53" s="4" t="inlineStr">
        <is>
          <t>Track change em ±30 mm - traseiro</t>
        </is>
      </c>
      <c r="B53" s="22" t="inlineStr">
        <is>
          <t>N/A</t>
        </is>
      </c>
      <c r="C53" s="10" t="inlineStr">
        <is>
          <t>mm</t>
        </is>
      </c>
      <c r="D53" s="10" t="inlineStr">
        <is>
          <t>SUS-411</t>
        </is>
      </c>
      <c r="E53" t="inlineStr">
        <is>
          <t>sem hardpoints reais</t>
        </is>
      </c>
    </row>
    <row r="54">
      <c r="A54" s="4" t="inlineStr">
        <is>
          <t>Motion Ratio MR [wheel/spring] no RH - dianteiro</t>
        </is>
      </c>
      <c r="B54" s="22" t="inlineStr">
        <is>
          <t>N/A</t>
        </is>
      </c>
      <c r="C54" s="10" t="inlineStr">
        <is>
          <t>-</t>
        </is>
      </c>
      <c r="D54" s="10" t="inlineStr">
        <is>
          <t>SUS-409</t>
        </is>
      </c>
      <c r="E54" t="inlineStr">
        <is>
          <t>sem hardpoints reais</t>
        </is>
      </c>
    </row>
    <row r="55">
      <c r="A55" s="4" t="inlineStr">
        <is>
          <t>Motion Ratio MR [wheel/spring] no RH - traseiro</t>
        </is>
      </c>
      <c r="B55" s="22" t="inlineStr">
        <is>
          <t>N/A</t>
        </is>
      </c>
      <c r="C55" s="10" t="inlineStr">
        <is>
          <t>-</t>
        </is>
      </c>
      <c r="D55" s="10" t="inlineStr">
        <is>
          <t>SUS-409</t>
        </is>
      </c>
      <c r="E55" t="inlineStr">
        <is>
          <t>sem hardpoints reais</t>
        </is>
      </c>
    </row>
    <row r="56">
      <c r="A56" s="4" t="inlineStr">
        <is>
          <t>Roll Center cinemático (altura acima do solo) - dianteiro</t>
        </is>
      </c>
      <c r="B56" s="22" t="inlineStr">
        <is>
          <t>N/A</t>
        </is>
      </c>
      <c r="C56" s="10" t="inlineStr">
        <is>
          <t>mm</t>
        </is>
      </c>
      <c r="D56" s="10" t="inlineStr">
        <is>
          <t>SUS-412</t>
        </is>
      </c>
      <c r="E56" t="inlineStr">
        <is>
          <t>sem hardpoints reais</t>
        </is>
      </c>
    </row>
    <row r="57">
      <c r="A57" s="4" t="inlineStr">
        <is>
          <t>Roll Center cinemático (altura acima do solo) - traseiro</t>
        </is>
      </c>
      <c r="B57" s="22" t="inlineStr">
        <is>
          <t>N/A</t>
        </is>
      </c>
      <c r="C57" s="10" t="inlineStr">
        <is>
          <t>mm</t>
        </is>
      </c>
      <c r="D57" s="10" t="inlineStr">
        <is>
          <t>SUS-412</t>
        </is>
      </c>
      <c r="E57" t="inlineStr">
        <is>
          <t>sem hardpoints reais</t>
        </is>
      </c>
    </row>
    <row r="58">
      <c r="A58" s="4" t="inlineStr">
        <is>
          <t>IC lateral (X, Z) - dianteiro</t>
        </is>
      </c>
      <c r="B58" s="22" t="inlineStr">
        <is>
          <t>N/A</t>
        </is>
      </c>
      <c r="C58" s="10" t="inlineStr">
        <is>
          <t>m</t>
        </is>
      </c>
      <c r="D58" s="10" t="inlineStr">
        <is>
          <t>SUS-412</t>
        </is>
      </c>
      <c r="E58" t="inlineStr">
        <is>
          <t>sem hardpoints reais</t>
        </is>
      </c>
    </row>
    <row r="59">
      <c r="A59" s="4" t="inlineStr">
        <is>
          <t>IC lateral (X, Z) - traseiro</t>
        </is>
      </c>
      <c r="B59" s="22" t="inlineStr">
        <is>
          <t>N/A</t>
        </is>
      </c>
      <c r="C59" s="10" t="inlineStr">
        <is>
          <t>m</t>
        </is>
      </c>
      <c r="D59" s="10" t="inlineStr">
        <is>
          <t>SUS-412</t>
        </is>
      </c>
      <c r="E59" t="inlineStr">
        <is>
          <t>sem hardpoints reais</t>
        </is>
      </c>
    </row>
    <row r="60">
      <c r="A60" s="4" t="inlineStr">
        <is>
          <t>Inclinação da linha de força lateral (dz/dx) - dianteiro</t>
        </is>
      </c>
      <c r="B60" s="22" t="inlineStr">
        <is>
          <t>N/A</t>
        </is>
      </c>
      <c r="C60" s="10" t="inlineStr">
        <is>
          <t>-</t>
        </is>
      </c>
      <c r="D60" s="10" t="inlineStr">
        <is>
          <t>SUS-412</t>
        </is>
      </c>
      <c r="E60" t="inlineStr">
        <is>
          <t>sem hardpoints reais</t>
        </is>
      </c>
    </row>
    <row r="61">
      <c r="A61" s="4" t="inlineStr">
        <is>
          <t>Inclinação da linha de força lateral (dz/dx) - traseiro</t>
        </is>
      </c>
      <c r="B61" s="22" t="inlineStr">
        <is>
          <t>N/A</t>
        </is>
      </c>
      <c r="C61" s="10" t="inlineStr">
        <is>
          <t>-</t>
        </is>
      </c>
      <c r="D61" s="10" t="inlineStr">
        <is>
          <t>SUS-412</t>
        </is>
      </c>
      <c r="E61" t="inlineStr">
        <is>
          <t>sem hardpoints reais</t>
        </is>
      </c>
    </row>
    <row r="63">
      <c r="A63" s="3" t="inlineStr">
        <is>
          <t>V2.0 — Schema de hardpoints (PROPOSTA; ver hardpoint-schema-V2.0.md)</t>
        </is>
      </c>
    </row>
    <row r="64">
      <c r="A64" s="4" t="inlineStr">
        <is>
          <t>Arquivos</t>
        </is>
      </c>
      <c r="B64" s="22" t="inlineStr">
        <is>
          <t>hardpoints.csv + hardpoints.meta.json</t>
        </is>
      </c>
      <c r="C64" s="10" t="inlineStr">
        <is>
          <t>-</t>
        </is>
      </c>
      <c r="D64" s="10" t="inlineStr">
        <is>
          <t>-</t>
        </is>
      </c>
    </row>
    <row r="65">
      <c r="A65" s="4" t="inlineStr">
        <is>
          <t>Colunas</t>
        </is>
      </c>
      <c r="B65" s="22" t="inlineStr">
        <is>
          <t>Point_ID, X_m, Y_m, Z_m, Component, Status</t>
        </is>
      </c>
      <c r="C65" s="10" t="inlineStr">
        <is>
          <t>-</t>
        </is>
      </c>
      <c r="D65" s="10" t="inlineStr">
        <is>
          <t>-</t>
        </is>
      </c>
    </row>
    <row r="66">
      <c r="A66" s="4" t="inlineStr">
        <is>
          <t>Eixos</t>
        </is>
      </c>
      <c r="B66" s="22" t="inlineStr">
        <is>
          <t>ISO 8855 (X frente, Y esquerda, Z cima), metros</t>
        </is>
      </c>
      <c r="C66" s="10" t="inlineStr">
        <is>
          <t>-</t>
        </is>
      </c>
      <c r="D66" s="10" t="inlineStr">
        <is>
          <t>-</t>
        </is>
      </c>
    </row>
    <row r="67">
      <c r="A67" s="4" t="inlineStr">
        <is>
          <t>Status permitidos</t>
        </is>
      </c>
      <c r="B67" s="22" t="inlineStr">
        <is>
          <t>SYNTHETIC, PROVISIONAL, DESIGN_INTENT, AS_BUILT</t>
        </is>
      </c>
      <c r="C67" s="10" t="inlineStr">
        <is>
          <t>-</t>
        </is>
      </c>
      <c r="D67" s="10" t="inlineStr">
        <is>
          <t>-</t>
        </is>
      </c>
    </row>
    <row r="68">
      <c r="A68" s="4" t="inlineStr">
        <is>
          <t>Geometry REV ativa (G-REV-X)</t>
        </is>
      </c>
      <c r="B68" s="22" t="inlineStr">
        <is>
          <t>TBD</t>
        </is>
      </c>
      <c r="C68" s="10" t="inlineStr">
        <is>
          <t>-</t>
        </is>
      </c>
      <c r="D68" s="10" t="inlineStr">
        <is>
          <t>-</t>
        </is>
      </c>
    </row>
    <row r="69">
      <c r="A69" s="4" t="inlineStr">
        <is>
          <t>Hardpoints reais carregados</t>
        </is>
      </c>
      <c r="B69" s="22" t="inlineStr">
        <is>
          <t>NÃO</t>
        </is>
      </c>
      <c r="C69" s="10" t="inlineStr">
        <is>
          <t>-</t>
        </is>
      </c>
      <c r="D69" s="10" t="inlineStr">
        <is>
          <t>-</t>
        </is>
      </c>
    </row>
  </sheetData>
  <mergeCells count="13">
    <mergeCell ref="A30:E30"/>
    <mergeCell ref="A34:E34"/>
    <mergeCell ref="A35:E35"/>
    <mergeCell ref="A4:E4"/>
    <mergeCell ref="A26:E26"/>
    <mergeCell ref="A16:E16"/>
    <mergeCell ref="A15:E15"/>
    <mergeCell ref="A63:E63"/>
    <mergeCell ref="A1:E1"/>
    <mergeCell ref="A6:E6"/>
    <mergeCell ref="A22:E22"/>
    <mergeCell ref="A9:E9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55" customWidth="1" min="5" max="5"/>
  </cols>
  <sheetData>
    <row r="1" ht="22" customHeight="1">
      <c r="A1" s="1" t="inlineStr">
        <is>
          <t>08_VEHICLE_STATE</t>
        </is>
      </c>
    </row>
    <row r="3">
      <c r="A3" s="3" t="inlineStr">
        <is>
          <t>Estado do veículo (manobra)</t>
        </is>
      </c>
    </row>
    <row r="4">
      <c r="A4" s="4" t="inlineStr">
        <is>
          <t>Aceleração longitudinal (a_x)</t>
        </is>
      </c>
      <c r="B4" s="16" t="n">
        <v>-5</v>
      </c>
      <c r="C4" s="10" t="inlineStr">
        <is>
          <t>m/s^2</t>
        </is>
      </c>
      <c r="D4" s="10" t="inlineStr">
        <is>
          <t>-</t>
        </is>
      </c>
    </row>
    <row r="5">
      <c r="A5" s="4" t="inlineStr">
        <is>
          <t>Aceleração lateral (a_y)</t>
        </is>
      </c>
      <c r="B5" s="16" t="n">
        <v>11.772</v>
      </c>
      <c r="C5" s="10" t="inlineStr">
        <is>
          <t>m/s^2</t>
        </is>
      </c>
      <c r="D5" s="10" t="inlineStr">
        <is>
          <t>-</t>
        </is>
      </c>
    </row>
    <row r="7">
      <c r="A7" s="3" t="inlineStr">
        <is>
          <t>Aero (constante por Setup — SUS-701/702, sem F_aero(v) na V1)</t>
        </is>
      </c>
    </row>
    <row r="8">
      <c r="A8" s="4" t="inlineStr">
        <is>
          <t>Downforce total</t>
        </is>
      </c>
      <c r="B8" s="16" t="n">
        <v>400</v>
      </c>
      <c r="C8" s="10" t="inlineStr">
        <is>
          <t>N</t>
        </is>
      </c>
      <c r="D8" s="10" t="inlineStr">
        <is>
          <t>SUS-701</t>
        </is>
      </c>
    </row>
    <row r="9">
      <c r="A9" s="4" t="inlineStr">
        <is>
          <t>Aero Balance (fração dianteira)</t>
        </is>
      </c>
      <c r="B9" s="16" t="n">
        <v>0.45</v>
      </c>
      <c r="C9" s="10" t="inlineStr">
        <is>
          <t>-</t>
        </is>
      </c>
      <c r="D9" s="10" t="inlineStr">
        <is>
          <t>SUS-702</t>
        </is>
      </c>
    </row>
  </sheetData>
  <mergeCells count="3">
    <mergeCell ref="A1:E1"/>
    <mergeCell ref="A7:E7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55" customWidth="1" min="5" max="5"/>
  </cols>
  <sheetData>
    <row r="1" ht="22" customHeight="1">
      <c r="A1" s="1" t="inlineStr">
        <is>
          <t>09_LOADS</t>
        </is>
      </c>
    </row>
    <row r="3">
      <c r="A3" s="3" t="inlineStr">
        <is>
          <t>Carga Estática (SUS-101)</t>
        </is>
      </c>
    </row>
    <row r="4">
      <c r="A4" s="4" t="inlineStr">
        <is>
          <t>Carga estática eixo dianteiro (W_f)</t>
        </is>
      </c>
      <c r="B4" s="21">
        <f>'05_VEHICLE'!$B$4*9.81*('05_VEHICLE'!$B$10/'05_VEHICLE'!$B$6)</f>
        <v/>
      </c>
      <c r="C4" s="10" t="inlineStr">
        <is>
          <t>N</t>
        </is>
      </c>
      <c r="D4" s="10" t="inlineStr">
        <is>
          <t>SUS-101</t>
        </is>
      </c>
    </row>
    <row r="5">
      <c r="A5" s="4" t="inlineStr">
        <is>
          <t>Carga estática eixo traseiro (W_r)</t>
        </is>
      </c>
      <c r="B5" s="21">
        <f>'05_VEHICLE'!$B$4*9.81*('05_VEHICLE'!$B$9/'05_VEHICLE'!$B$6)</f>
        <v/>
      </c>
      <c r="C5" s="10" t="inlineStr">
        <is>
          <t>N</t>
        </is>
      </c>
      <c r="D5" s="10" t="inlineStr">
        <is>
          <t>SUS-101</t>
        </is>
      </c>
    </row>
    <row r="6">
      <c r="A6" s="4" t="inlineStr">
        <is>
          <t>Fz estático FL</t>
        </is>
      </c>
      <c r="B6" s="21">
        <f>'09_LOADS'!$B$4/2</f>
        <v/>
      </c>
      <c r="C6" s="10" t="inlineStr">
        <is>
          <t>N</t>
        </is>
      </c>
      <c r="D6" s="10" t="inlineStr">
        <is>
          <t>SUS-101</t>
        </is>
      </c>
    </row>
    <row r="7">
      <c r="A7" s="4" t="inlineStr">
        <is>
          <t>Fz estático FR</t>
        </is>
      </c>
      <c r="B7" s="21">
        <f>'09_LOADS'!$B$4/2</f>
        <v/>
      </c>
      <c r="C7" s="10" t="inlineStr">
        <is>
          <t>N</t>
        </is>
      </c>
      <c r="D7" s="10" t="inlineStr">
        <is>
          <t>SUS-101</t>
        </is>
      </c>
    </row>
    <row r="8">
      <c r="A8" s="4" t="inlineStr">
        <is>
          <t>Fz estático RL</t>
        </is>
      </c>
      <c r="B8" s="21">
        <f>'09_LOADS'!$B$5/2</f>
        <v/>
      </c>
      <c r="C8" s="10" t="inlineStr">
        <is>
          <t>N</t>
        </is>
      </c>
      <c r="D8" s="10" t="inlineStr">
        <is>
          <t>SUS-101</t>
        </is>
      </c>
    </row>
    <row r="9">
      <c r="A9" s="4" t="inlineStr">
        <is>
          <t>Fz estático RR</t>
        </is>
      </c>
      <c r="B9" s="21">
        <f>'09_LOADS'!$B$5/2</f>
        <v/>
      </c>
      <c r="C9" s="10" t="inlineStr">
        <is>
          <t>N</t>
        </is>
      </c>
      <c r="D9" s="10" t="inlineStr">
        <is>
          <t>SUS-101</t>
        </is>
      </c>
    </row>
    <row r="11">
      <c r="A11" s="3" t="inlineStr">
        <is>
          <t>Transferência Longitudinal (SUS-102)</t>
        </is>
      </c>
    </row>
    <row r="12">
      <c r="A12" s="4" t="inlineStr">
        <is>
          <t>dFz longitudinal - eixo dianteiro</t>
        </is>
      </c>
      <c r="B12" s="21">
        <f>-'05_VEHICLE'!$B$4*'08_VEHICLE_STATE'!$B$4*'05_VEHICLE'!$B$5/'05_VEHICLE'!$B$6</f>
        <v/>
      </c>
      <c r="C12" s="10" t="inlineStr">
        <is>
          <t>N</t>
        </is>
      </c>
      <c r="D12" s="10" t="inlineStr">
        <is>
          <t>SUS-102</t>
        </is>
      </c>
    </row>
    <row r="13">
      <c r="A13" s="4" t="inlineStr">
        <is>
          <t>dFz longitudinal - eixo traseiro</t>
        </is>
      </c>
      <c r="B13" s="21">
        <f>+'05_VEHICLE'!$B$4*'08_VEHICLE_STATE'!$B$4*'05_VEHICLE'!$B$5/'05_VEHICLE'!$B$6</f>
        <v/>
      </c>
      <c r="C13" s="10" t="inlineStr">
        <is>
          <t>N</t>
        </is>
      </c>
      <c r="D13" s="10" t="inlineStr">
        <is>
          <t>SUS-102</t>
        </is>
      </c>
    </row>
    <row r="14">
      <c r="A14" s="4" t="inlineStr">
        <is>
          <t>dFz longitudinal por canto - dianteira</t>
        </is>
      </c>
      <c r="B14" s="21">
        <f>'09_LOADS'!$B$12/2</f>
        <v/>
      </c>
      <c r="C14" s="10" t="inlineStr">
        <is>
          <t>N</t>
        </is>
      </c>
      <c r="D14" s="10" t="inlineStr">
        <is>
          <t>SUS-102</t>
        </is>
      </c>
    </row>
    <row r="15">
      <c r="A15" s="4" t="inlineStr">
        <is>
          <t>dFz longitudinal por canto - traseira</t>
        </is>
      </c>
      <c r="B15" s="21">
        <f>'09_LOADS'!$B$13/2</f>
        <v/>
      </c>
      <c r="C15" s="10" t="inlineStr">
        <is>
          <t>N</t>
        </is>
      </c>
      <c r="D15" s="10" t="inlineStr">
        <is>
          <t>SUS-102</t>
        </is>
      </c>
    </row>
    <row r="17">
      <c r="A17" s="3" t="inlineStr">
        <is>
          <t>Transferência Lateral — Milliken two-spring (SUS-103)</t>
        </is>
      </c>
    </row>
    <row r="18">
      <c r="A18" s="4" t="inlineStr">
        <is>
          <t>Altura do roll axis no CG (z_s)</t>
        </is>
      </c>
      <c r="B18" s="21">
        <f>('05_VEHICLE'!$B$10/'05_VEHICLE'!$B$6)*'06_SUSPENSION'!$B$14+('05_VEHICLE'!$B$9/'05_VEHICLE'!$B$6)*'06_SUSPENSION'!$B$15</f>
        <v/>
      </c>
      <c r="C18" s="10" t="inlineStr">
        <is>
          <t>m</t>
        </is>
      </c>
      <c r="D18" s="10" t="inlineStr">
        <is>
          <t>-</t>
        </is>
      </c>
    </row>
    <row r="19">
      <c r="A19" s="4" t="inlineStr">
        <is>
          <t>dFz lateral - eixo dianteiro</t>
        </is>
      </c>
      <c r="B19" s="21">
        <f>('08_VEHICLE_STATE'!$B$5/'05_VEHICLE'!$B$7)*('06_SUSPENSION'!$B$24*'05_VEHICLE'!$B$23*('05_VEHICLE'!$B$24-'09_LOADS'!$B$18)+('05_VEHICLE'!$B$10/'05_VEHICLE'!$B$6)*'05_VEHICLE'!$B$23*'06_SUSPENSION'!$B$14+'05_VEHICLE'!$B$14*'05_VEHICLE'!$B$16)</f>
        <v/>
      </c>
      <c r="C19" s="10" t="inlineStr">
        <is>
          <t>N</t>
        </is>
      </c>
      <c r="D19" s="10" t="inlineStr">
        <is>
          <t>SUS-103</t>
        </is>
      </c>
    </row>
    <row r="20">
      <c r="A20" s="4" t="inlineStr">
        <is>
          <t>dFz lateral - eixo traseiro</t>
        </is>
      </c>
      <c r="B20" s="21">
        <f>('08_VEHICLE_STATE'!$B$5/'05_VEHICLE'!$B$8)*('06_SUSPENSION'!$B$25*'05_VEHICLE'!$B$23*('05_VEHICLE'!$B$24-'09_LOADS'!$B$18)+('05_VEHICLE'!$B$9/'05_VEHICLE'!$B$6)*'05_VEHICLE'!$B$23*'06_SUSPENSION'!$B$15+'05_VEHICLE'!$B$15*'05_VEHICLE'!$B$17)</f>
        <v/>
      </c>
      <c r="C20" s="10" t="inlineStr">
        <is>
          <t>N</t>
        </is>
      </c>
      <c r="D20" s="10" t="inlineStr">
        <is>
          <t>SUS-103</t>
        </is>
      </c>
    </row>
    <row r="22">
      <c r="A22" s="3" t="inlineStr">
        <is>
          <t>Aero por canto (SUS-701/702)</t>
        </is>
      </c>
    </row>
    <row r="23">
      <c r="A23" s="4" t="inlineStr">
        <is>
          <t>Fz aero - eixo dianteiro</t>
        </is>
      </c>
      <c r="B23" s="21">
        <f>'08_VEHICLE_STATE'!$B$8*'08_VEHICLE_STATE'!$B$9</f>
        <v/>
      </c>
      <c r="C23" s="10" t="inlineStr">
        <is>
          <t>N</t>
        </is>
      </c>
      <c r="D23" s="10" t="inlineStr">
        <is>
          <t>-</t>
        </is>
      </c>
    </row>
    <row r="24">
      <c r="A24" s="4" t="inlineStr">
        <is>
          <t>Fz aero - eixo traseiro</t>
        </is>
      </c>
      <c r="B24" s="21">
        <f>'08_VEHICLE_STATE'!$B$8*(1-'08_VEHICLE_STATE'!$B$9)</f>
        <v/>
      </c>
      <c r="C24" s="10" t="inlineStr">
        <is>
          <t>N</t>
        </is>
      </c>
      <c r="D24" s="10" t="inlineStr">
        <is>
          <t>-</t>
        </is>
      </c>
    </row>
    <row r="25">
      <c r="A25" s="4" t="inlineStr">
        <is>
          <t>Fz aero FL</t>
        </is>
      </c>
      <c r="B25" s="21">
        <f>'09_LOADS'!$B$23/2</f>
        <v/>
      </c>
      <c r="C25" s="10" t="inlineStr">
        <is>
          <t>N</t>
        </is>
      </c>
      <c r="D25" s="10" t="inlineStr">
        <is>
          <t>-</t>
        </is>
      </c>
    </row>
    <row r="26">
      <c r="A26" s="4" t="inlineStr">
        <is>
          <t>Fz aero FR</t>
        </is>
      </c>
      <c r="B26" s="21">
        <f>'09_LOADS'!$B$23/2</f>
        <v/>
      </c>
      <c r="C26" s="10" t="inlineStr">
        <is>
          <t>N</t>
        </is>
      </c>
      <c r="D26" s="10" t="inlineStr">
        <is>
          <t>-</t>
        </is>
      </c>
    </row>
    <row r="27">
      <c r="A27" s="4" t="inlineStr">
        <is>
          <t>Fz aero RL</t>
        </is>
      </c>
      <c r="B27" s="21">
        <f>'09_LOADS'!$B$24/2</f>
        <v/>
      </c>
      <c r="C27" s="10" t="inlineStr">
        <is>
          <t>N</t>
        </is>
      </c>
      <c r="D27" s="10" t="inlineStr">
        <is>
          <t>-</t>
        </is>
      </c>
    </row>
    <row r="28">
      <c r="A28" s="4" t="inlineStr">
        <is>
          <t>Fz aero RR</t>
        </is>
      </c>
      <c r="B28" s="21">
        <f>'09_LOADS'!$B$24/2</f>
        <v/>
      </c>
      <c r="C28" s="10" t="inlineStr">
        <is>
          <t>N</t>
        </is>
      </c>
      <c r="D28" s="10" t="inlineStr">
        <is>
          <t>-</t>
        </is>
      </c>
    </row>
    <row r="30">
      <c r="A30" s="3" t="inlineStr">
        <is>
          <t>Fz Combinado por Canto (SUS-104)</t>
        </is>
      </c>
    </row>
    <row r="31">
      <c r="A31" s="4" t="inlineStr">
        <is>
          <t>Fz FL</t>
        </is>
      </c>
      <c r="B31" s="21">
        <f>'09_LOADS'!$B$6+'09_LOADS'!$B$14-'09_LOADS'!$B$19+'09_LOADS'!$B$25</f>
        <v/>
      </c>
      <c r="C31" s="10" t="inlineStr">
        <is>
          <t>N</t>
        </is>
      </c>
      <c r="D31" s="10" t="inlineStr">
        <is>
          <t>SUS-104</t>
        </is>
      </c>
    </row>
    <row r="32">
      <c r="A32" s="4" t="inlineStr">
        <is>
          <t>Fz FR</t>
        </is>
      </c>
      <c r="B32" s="21">
        <f>'09_LOADS'!$B$7+'09_LOADS'!$B$14+'09_LOADS'!$B$19+'09_LOADS'!$B$26</f>
        <v/>
      </c>
      <c r="C32" s="10" t="inlineStr">
        <is>
          <t>N</t>
        </is>
      </c>
      <c r="D32" s="10" t="inlineStr">
        <is>
          <t>SUS-104</t>
        </is>
      </c>
    </row>
    <row r="33">
      <c r="A33" s="4" t="inlineStr">
        <is>
          <t>Fz RL</t>
        </is>
      </c>
      <c r="B33" s="21">
        <f>'09_LOADS'!$B$8+'09_LOADS'!$B$15-'09_LOADS'!$B$20+'09_LOADS'!$B$27</f>
        <v/>
      </c>
      <c r="C33" s="10" t="inlineStr">
        <is>
          <t>N</t>
        </is>
      </c>
      <c r="D33" s="10" t="inlineStr">
        <is>
          <t>SUS-104</t>
        </is>
      </c>
    </row>
    <row r="34">
      <c r="A34" s="4" t="inlineStr">
        <is>
          <t>Fz RR</t>
        </is>
      </c>
      <c r="B34" s="21">
        <f>'09_LOADS'!$B$9+'09_LOADS'!$B$15+'09_LOADS'!$B$20+'09_LOADS'!$B$28</f>
        <v/>
      </c>
      <c r="C34" s="10" t="inlineStr">
        <is>
          <t>N</t>
        </is>
      </c>
      <c r="D34" s="10" t="inlineStr">
        <is>
          <t>SUS-104</t>
        </is>
      </c>
    </row>
  </sheetData>
  <mergeCells count="6">
    <mergeCell ref="A30:E30"/>
    <mergeCell ref="A11:E11"/>
    <mergeCell ref="A1:E1"/>
    <mergeCell ref="A22:E22"/>
    <mergeCell ref="A17:E17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55" customWidth="1" min="5" max="5"/>
  </cols>
  <sheetData>
    <row r="1" ht="22" customHeight="1">
      <c r="A1" s="1" t="inlineStr">
        <is>
          <t>10_TIRE</t>
        </is>
      </c>
    </row>
    <row r="3">
      <c r="A3" s="3" t="inlineStr">
        <is>
          <t>Status: WAITING INPUT (Fase 2 - integração com OptimumTire)</t>
        </is>
      </c>
    </row>
    <row r="4">
      <c r="A4" s="2" t="inlineStr">
        <is>
          <t>Esta aba existe estruturalmente desde a V1, mas depende do OptimumTire (ainda nao integrado).</t>
        </is>
      </c>
    </row>
    <row r="5">
      <c r="A5" s="2" t="inlineStr"/>
    </row>
    <row r="6">
      <c r="A6" s="2" t="inlineStr">
        <is>
          <t>Campos previstos (fichas SUS-501/502/503 do Engineering Standard):</t>
        </is>
      </c>
    </row>
    <row r="7">
      <c r="A7" s="2" t="inlineStr">
        <is>
          <t xml:space="preserve">  - Fy(Fz, alpha, gamma) - REFERENCE do dataset OptimumTire</t>
        </is>
      </c>
    </row>
    <row r="8">
      <c r="A8" s="2" t="inlineStr">
        <is>
          <t xml:space="preserve">  - Fx(Fz, slip) - REFERENCE</t>
        </is>
      </c>
    </row>
    <row r="9">
      <c r="A9" s="2" t="inlineStr">
        <is>
          <t xml:space="preserve">  - mu efetivo - CALCULATED a partir de Fx/Fy/Fz</t>
        </is>
      </c>
    </row>
    <row r="10">
      <c r="A10" s="2" t="inlineStr"/>
    </row>
    <row r="11">
      <c r="A11" s="2" t="inlineStr">
        <is>
          <t>Load Transfer (09_LOADS) NAO depende desta aba - a causalidade e Vehicle State -&gt; Load Transfer -&gt; Fz by</t>
        </is>
      </c>
    </row>
    <row r="12">
      <c r="A12" s="2" t="inlineStr">
        <is>
          <t>corner -&gt; Tire Model, nunca o inverso.</t>
        </is>
      </c>
    </row>
  </sheetData>
  <mergeCells count="11">
    <mergeCell ref="A12:E12"/>
    <mergeCell ref="A4:E4"/>
    <mergeCell ref="A7:E7"/>
    <mergeCell ref="A10:E10"/>
    <mergeCell ref="A11:E11"/>
    <mergeCell ref="A1:E1"/>
    <mergeCell ref="A5:E5"/>
    <mergeCell ref="A8:E8"/>
    <mergeCell ref="A6:E6"/>
    <mergeCell ref="A9:E9"/>
    <mergeCell ref="A3:E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55" customWidth="1" min="5" max="5"/>
  </cols>
  <sheetData>
    <row r="1" ht="22" customHeight="1">
      <c r="A1" s="1" t="inlineStr">
        <is>
          <t>11_DESIGN — Design Mode</t>
        </is>
      </c>
    </row>
    <row r="3">
      <c r="A3" s="3" t="inlineStr">
        <is>
          <t>Target de frequência (TARGET-XXX)</t>
        </is>
      </c>
    </row>
    <row r="4">
      <c r="A4" s="4" t="inlineStr">
        <is>
          <t>Frequência-alvo dianteira</t>
        </is>
      </c>
      <c r="B4" s="20" t="n">
        <v>2.5</v>
      </c>
      <c r="C4" s="10" t="inlineStr">
        <is>
          <t>Hz</t>
        </is>
      </c>
      <c r="D4" s="10" t="inlineStr">
        <is>
          <t>TARGET-001</t>
        </is>
      </c>
    </row>
    <row r="5">
      <c r="A5" s="4" t="inlineStr">
        <is>
          <t>Frequência-alvo traseira</t>
        </is>
      </c>
      <c r="B5" s="20" t="n">
        <v>2.7</v>
      </c>
      <c r="C5" s="10" t="inlineStr">
        <is>
          <t>Hz</t>
        </is>
      </c>
      <c r="D5" s="10" t="inlineStr">
        <is>
          <t>TARGET-002</t>
        </is>
      </c>
    </row>
    <row r="7">
      <c r="A7" s="3" t="inlineStr">
        <is>
          <t>Rigidez necessária (equação reversa, SUS-202/205)</t>
        </is>
      </c>
    </row>
    <row r="8">
      <c r="A8" s="4" t="inlineStr">
        <is>
          <t>Wheel Rate necessário - dianteira</t>
        </is>
      </c>
      <c r="B8" s="21">
        <f>(2*PI()*'11_DESIGN'!$B$4)^2*'06_SUSPENSION'!$B$28</f>
        <v/>
      </c>
      <c r="C8" s="10" t="inlineStr">
        <is>
          <t>N/m</t>
        </is>
      </c>
      <c r="D8" s="10" t="inlineStr">
        <is>
          <t>SUS-205</t>
        </is>
      </c>
    </row>
    <row r="9">
      <c r="A9" s="4" t="inlineStr">
        <is>
          <t>Wheel Rate necessário - traseira</t>
        </is>
      </c>
      <c r="B9" s="21">
        <f>(2*PI()*'11_DESIGN'!$B$5)^2*'06_SUSPENSION'!$B$29</f>
        <v/>
      </c>
      <c r="C9" s="10" t="inlineStr">
        <is>
          <t>N/m</t>
        </is>
      </c>
      <c r="D9" s="10" t="inlineStr">
        <is>
          <t>SUS-205</t>
        </is>
      </c>
    </row>
    <row r="10">
      <c r="A10" s="4" t="inlineStr">
        <is>
          <t>Spring Rate necessário - dianteira</t>
        </is>
      </c>
      <c r="B10" s="21">
        <f>'11_DESIGN'!$B$8*'06_SUSPENSION'!$B$6^2</f>
        <v/>
      </c>
      <c r="C10" s="10" t="inlineStr">
        <is>
          <t>N/m</t>
        </is>
      </c>
      <c r="D10" s="10" t="inlineStr">
        <is>
          <t>SUS-202</t>
        </is>
      </c>
    </row>
    <row r="11">
      <c r="A11" s="4" t="inlineStr">
        <is>
          <t>Spring Rate necessário - traseira</t>
        </is>
      </c>
      <c r="B11" s="21">
        <f>'11_DESIGN'!$B$9*'06_SUSPENSION'!$B$7^2</f>
        <v/>
      </c>
      <c r="C11" s="10" t="inlineStr">
        <is>
          <t>N/m</t>
        </is>
      </c>
      <c r="D11" s="10" t="inlineStr">
        <is>
          <t>SUS-202</t>
        </is>
      </c>
    </row>
    <row r="13">
      <c r="A13" s="3" t="inlineStr">
        <is>
          <t>Comparação com o Spring Rate atual (06_SUSPENSION)</t>
        </is>
      </c>
    </row>
    <row r="14">
      <c r="A14" s="4" t="inlineStr">
        <is>
          <t>Diferença dianteira (necessário - atual)</t>
        </is>
      </c>
      <c r="B14" s="21">
        <f>'11_DESIGN'!$B$10-'06_SUSPENSION'!$B$4</f>
        <v/>
      </c>
      <c r="C14" s="10" t="inlineStr">
        <is>
          <t>N/m</t>
        </is>
      </c>
      <c r="D14" s="10" t="inlineStr">
        <is>
          <t>-</t>
        </is>
      </c>
    </row>
    <row r="15">
      <c r="A15" s="4" t="inlineStr">
        <is>
          <t>Diferença traseira (necessário - atual)</t>
        </is>
      </c>
      <c r="B15" s="21">
        <f>'11_DESIGN'!$B$11-'06_SUSPENSION'!$B$5</f>
        <v/>
      </c>
      <c r="C15" s="10" t="inlineStr">
        <is>
          <t>N/m</t>
        </is>
      </c>
      <c r="D15" s="10" t="inlineStr">
        <is>
          <t>-</t>
        </is>
      </c>
    </row>
    <row r="17">
      <c r="A17" s="3" t="inlineStr">
        <is>
          <t>Target de Roll Stiffness Distribution (equação reversa, SUS-208 — DRAFT, ver Engineering Standard)</t>
        </is>
      </c>
    </row>
    <row r="18">
      <c r="A18" s="4" t="inlineStr">
        <is>
          <t>lambda_f alvo</t>
        </is>
      </c>
      <c r="B18" s="20" t="n">
        <v>0.55</v>
      </c>
      <c r="C18" s="10" t="inlineStr">
        <is>
          <t>-</t>
        </is>
      </c>
      <c r="D18" s="10" t="inlineStr">
        <is>
          <t>TARGET-003</t>
        </is>
      </c>
    </row>
    <row r="19">
      <c r="A19" s="4" t="inlineStr">
        <is>
          <t>Roll Stiffness dianteira necessária (K_phiF total)</t>
        </is>
      </c>
      <c r="B19" s="21">
        <f>('11_DESIGN'!$B$18/(1-'11_DESIGN'!$B$18))*'06_SUSPENSION'!$B$23</f>
        <v/>
      </c>
      <c r="C19" s="10" t="inlineStr">
        <is>
          <t>N*m/rad</t>
        </is>
      </c>
      <c r="D19" s="10" t="inlineStr">
        <is>
          <t>SUS-208</t>
        </is>
      </c>
    </row>
    <row r="20">
      <c r="A20" s="4" t="inlineStr">
        <is>
          <t>K_ARB dianteiro necessário</t>
        </is>
      </c>
      <c r="B20" s="21">
        <f>'11_DESIGN'!$B$19-'06_SUSPENSION'!$B$20</f>
        <v/>
      </c>
      <c r="C20" s="10" t="inlineStr">
        <is>
          <t>N*m/rad</t>
        </is>
      </c>
      <c r="D20" s="10" t="inlineStr">
        <is>
          <t>SUS-206</t>
        </is>
      </c>
    </row>
    <row r="21">
      <c r="A21" s="4" t="inlineStr">
        <is>
          <t>Diferença K_ARB dianteiro (necessário - atual)</t>
        </is>
      </c>
      <c r="B21" s="21">
        <f>'11_DESIGN'!$B$20-'06_SUSPENSION'!$B$10</f>
        <v/>
      </c>
      <c r="C21" s="10" t="inlineStr">
        <is>
          <t>N*m/rad</t>
        </is>
      </c>
      <c r="D21" s="10" t="inlineStr">
        <is>
          <t>-</t>
        </is>
      </c>
    </row>
  </sheetData>
  <mergeCells count="5">
    <mergeCell ref="A7:E7"/>
    <mergeCell ref="A1:E1"/>
    <mergeCell ref="A13:E13"/>
    <mergeCell ref="A17:E17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55" customWidth="1" min="5" max="5"/>
  </cols>
  <sheetData>
    <row r="1" ht="22" customHeight="1">
      <c r="A1" s="1" t="inlineStr">
        <is>
          <t>12_COMPARISON</t>
        </is>
      </c>
    </row>
    <row r="3">
      <c r="A3" s="3" t="inlineStr">
        <is>
          <t>Comparação entre Setups/alternativas — vazio até existir mais de um Setup real</t>
        </is>
      </c>
    </row>
    <row r="4">
      <c r="A4" s="2" t="inlineStr">
        <is>
          <t>Estrutura reservada. Nao ha ainda um segundo Setup real do Design Case para comparar contra o Baseline.</t>
        </is>
      </c>
    </row>
    <row r="5">
      <c r="A5" s="2" t="inlineStr">
        <is>
          <t>Preencher quando houver pelo menos duas configuracoes concretas a comparar (evita aba decorativa vazia).</t>
        </is>
      </c>
    </row>
  </sheetData>
  <mergeCells count="4">
    <mergeCell ref="A1:E1"/>
    <mergeCell ref="A4:E4"/>
    <mergeCell ref="A5:E5"/>
    <mergeCell ref="A3:E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55" customWidth="1" min="5" max="5"/>
  </cols>
  <sheetData>
    <row r="1" ht="22" customHeight="1">
      <c r="A1" s="1" t="inlineStr">
        <is>
          <t>13_VALIDATION</t>
        </is>
      </c>
    </row>
    <row r="3">
      <c r="A3" s="3" t="inlineStr">
        <is>
          <t>Self-checks de conservação (equivalentes a TC-004 / TC-005 / lambda)</t>
        </is>
      </c>
    </row>
    <row r="4">
      <c r="A4" s="4" t="inlineStr">
        <is>
          <t>TC-004: Sum(Fz) - (W+Faero) [deve ser ~0]</t>
        </is>
      </c>
      <c r="B4" s="21">
        <f>'09_LOADS'!$B$31+'09_LOADS'!$B$32+'09_LOADS'!$B$33+'09_LOADS'!$B$34-('05_VEHICLE'!$B$4*9.81+'08_VEHICLE_STATE'!$B$8)</f>
        <v/>
      </c>
      <c r="C4" s="10" t="inlineStr">
        <is>
          <t>N</t>
        </is>
      </c>
      <c r="D4" s="10" t="inlineStr">
        <is>
          <t>TC-004</t>
        </is>
      </c>
    </row>
    <row r="5">
      <c r="A5" s="4" t="inlineStr">
        <is>
          <t>Status TC-004</t>
        </is>
      </c>
      <c r="B5" s="21">
        <f>IF(ABS('13_VALIDATION'!$B$4)&lt;0.01,"PASS","FAIL")</f>
        <v/>
      </c>
      <c r="C5" s="10" t="inlineStr">
        <is>
          <t>-</t>
        </is>
      </c>
      <c r="D5" s="10" t="inlineStr">
        <is>
          <t>-</t>
        </is>
      </c>
    </row>
    <row r="6">
      <c r="A6" s="4" t="inlineStr">
        <is>
          <t>TC-005: t_F*dFzF + t_R*dFzR - m*ay*h_CG [deve ser ~0]</t>
        </is>
      </c>
      <c r="B6" s="21">
        <f>'05_VEHICLE'!$B$7*'09_LOADS'!$B$19+'05_VEHICLE'!$B$8*'09_LOADS'!$B$20-'05_VEHICLE'!$B$4*'08_VEHICLE_STATE'!$B$5*'05_VEHICLE'!$B$5</f>
        <v/>
      </c>
      <c r="C6" s="10" t="inlineStr">
        <is>
          <t>N*m</t>
        </is>
      </c>
      <c r="D6" s="10" t="inlineStr">
        <is>
          <t>TC-005</t>
        </is>
      </c>
    </row>
    <row r="7">
      <c r="A7" s="4" t="inlineStr">
        <is>
          <t>Status TC-005</t>
        </is>
      </c>
      <c r="B7" s="21">
        <f>IF(ABS('13_VALIDATION'!$B$6)&lt;0.01,"PASS","FAIL")</f>
        <v/>
      </c>
      <c r="C7" s="10" t="inlineStr">
        <is>
          <t>-</t>
        </is>
      </c>
      <c r="D7" s="10" t="inlineStr">
        <is>
          <t>-</t>
        </is>
      </c>
    </row>
    <row r="8">
      <c r="A8" s="4" t="inlineStr">
        <is>
          <t>Checagem: lambda_f + lambda_r = 1</t>
        </is>
      </c>
      <c r="B8" s="21">
        <f>'06_SUSPENSION'!$B$24+'06_SUSPENSION'!$B$25</f>
        <v/>
      </c>
      <c r="C8" s="10" t="inlineStr">
        <is>
          <t>-</t>
        </is>
      </c>
      <c r="D8" s="10" t="inlineStr">
        <is>
          <t>SUS-208</t>
        </is>
      </c>
    </row>
    <row r="10">
      <c r="A10" s="3" t="inlineStr">
        <is>
          <t>Plausibilidade — perda de contato (Fz &lt; 0 invalida o modelo linear, ver SUS-104)</t>
        </is>
      </c>
    </row>
    <row r="11">
      <c r="A11" s="4" t="inlineStr">
        <is>
          <t>Fz FL &gt;= 0 ?</t>
        </is>
      </c>
      <c r="B11" s="21">
        <f>IF('09_LOADS'!$B$31&gt;=0,"OK","WARNING: perda de contato")</f>
        <v/>
      </c>
      <c r="C11" s="10" t="inlineStr">
        <is>
          <t>-</t>
        </is>
      </c>
      <c r="D11" s="10" t="inlineStr">
        <is>
          <t>-</t>
        </is>
      </c>
    </row>
    <row r="12">
      <c r="A12" s="4" t="inlineStr">
        <is>
          <t>Fz FR &gt;= 0 ?</t>
        </is>
      </c>
      <c r="B12" s="21">
        <f>IF('09_LOADS'!$B$32&gt;=0,"OK","WARNING: perda de contato")</f>
        <v/>
      </c>
      <c r="C12" s="10" t="inlineStr">
        <is>
          <t>-</t>
        </is>
      </c>
      <c r="D12" s="10" t="inlineStr">
        <is>
          <t>-</t>
        </is>
      </c>
    </row>
    <row r="13">
      <c r="A13" s="4" t="inlineStr">
        <is>
          <t>Fz RL &gt;= 0 ?</t>
        </is>
      </c>
      <c r="B13" s="21">
        <f>IF('09_LOADS'!$B$33&gt;=0,"OK","WARNING: perda de contato")</f>
        <v/>
      </c>
      <c r="C13" s="10" t="inlineStr">
        <is>
          <t>-</t>
        </is>
      </c>
      <c r="D13" s="10" t="inlineStr">
        <is>
          <t>-</t>
        </is>
      </c>
    </row>
    <row r="14">
      <c r="A14" s="4" t="inlineStr">
        <is>
          <t>Fz RR &gt;= 0 ?</t>
        </is>
      </c>
      <c r="B14" s="21">
        <f>IF('09_LOADS'!$B$34&gt;=0,"OK","WARNING: perda de contato")</f>
        <v/>
      </c>
      <c r="C14" s="10" t="inlineStr">
        <is>
          <t>-</t>
        </is>
      </c>
      <c r="D14" s="10" t="inlineStr">
        <is>
          <t>-</t>
        </is>
      </c>
    </row>
    <row r="16">
      <c r="A16" s="3" t="inlineStr">
        <is>
          <t>Checagem contra Requirements (02_REQUIREMENTS)</t>
        </is>
      </c>
    </row>
    <row r="17">
      <c r="A17" s="4" t="inlineStr">
        <is>
          <t>tan(ângulo de tombamento) — usa a MENOR bitola (pior caso)</t>
        </is>
      </c>
      <c r="B17" s="21">
        <f>(MIN('05_VEHICLE'!$B$7,'05_VEHICLE'!$B$8)/2)/'05_VEHICLE'!$B$5</f>
        <v/>
      </c>
      <c r="C17" s="10" t="inlineStr">
        <is>
          <t>-</t>
        </is>
      </c>
      <c r="D17" s="10" t="inlineStr">
        <is>
          <t>REQ-003</t>
        </is>
      </c>
    </row>
    <row r="18">
      <c r="A18" s="4" t="inlineStr">
        <is>
          <t>Ângulo de tombamento (graus)</t>
        </is>
      </c>
      <c r="B18" s="21">
        <f>DEGREES(ATAN('13_VALIDATION'!$B$17))</f>
        <v/>
      </c>
      <c r="C18" s="10" t="inlineStr">
        <is>
          <t>deg</t>
        </is>
      </c>
      <c r="D18" s="10" t="inlineStr">
        <is>
          <t>REQ-003</t>
        </is>
      </c>
    </row>
    <row r="19">
      <c r="A19" s="4" t="inlineStr">
        <is>
          <t>Status REQ-003 (Tilt Test, mínimo 60°)</t>
        </is>
      </c>
      <c r="B19" s="21">
        <f>IF('13_VALIDATION'!$B$18&gt;=60,"PASS","FAIL - risco de reprovacao no Tilt Test")</f>
        <v/>
      </c>
      <c r="C19" s="10" t="inlineStr">
        <is>
          <t>-</t>
        </is>
      </c>
      <c r="D19" s="10" t="inlineStr">
        <is>
          <t>REQ-003</t>
        </is>
      </c>
    </row>
    <row r="21">
      <c r="A21" s="4" t="inlineStr">
        <is>
          <t>Status REQ-004 (curso dianteiro, mínimo 50mm)</t>
        </is>
      </c>
      <c r="B21" s="21">
        <f>IF('07_KINEMATICS'!$B$31&gt;=50,"PASS","FAIL")</f>
        <v/>
      </c>
      <c r="C21" s="10" t="inlineStr">
        <is>
          <t>-</t>
        </is>
      </c>
      <c r="D21" s="10" t="inlineStr">
        <is>
          <t>REQ-004</t>
        </is>
      </c>
    </row>
    <row r="22">
      <c r="A22" s="4" t="inlineStr">
        <is>
          <t>Status REQ-004 (curso traseiro, mínimo 50mm)</t>
        </is>
      </c>
      <c r="B22" s="21">
        <f>IF('07_KINEMATICS'!$B$32&gt;=50,"PASS","FAIL")</f>
        <v/>
      </c>
      <c r="C22" s="10" t="inlineStr">
        <is>
          <t>-</t>
        </is>
      </c>
      <c r="D22" s="10" t="inlineStr">
        <is>
          <t>REQ-004</t>
        </is>
      </c>
    </row>
    <row r="24">
      <c r="A24" s="3" t="inlineStr">
        <is>
          <t>Referência — resultado do piloto Python (atualizar manualmente até o bridge existir)</t>
        </is>
      </c>
    </row>
    <row r="25">
      <c r="A25" s="2" t="inlineStr">
        <is>
          <t>16/16 Test Cases PASS em suspension_model_V2_0.py / test_suspension_model_V2_0.py (ver Engineering Standard V2.0, Log de Validação)</t>
        </is>
      </c>
    </row>
    <row r="26">
      <c r="A26" s="2" t="inlineStr">
        <is>
          <t>Piloto de referência: MR=0.8, Ks=100 N/mm, ms=50 kg -&gt; fn=8.897 Hz (verificado)</t>
        </is>
      </c>
    </row>
    <row r="28">
      <c r="A28" s="3" t="inlineStr">
        <is>
          <t>Checagem adicional de requisitos (V2.1) — REQ-001 e REQ-002 (02_REQUIREMENTS; Rulebook V.1.2 e V.1.3.2)</t>
        </is>
      </c>
    </row>
    <row r="29">
      <c r="A29" s="4" t="inlineStr">
        <is>
          <t>Wheelbase (mm) — a partir de 05_VEHICLE!B6</t>
        </is>
      </c>
      <c r="B29" s="21">
        <f>IF(ISNUMBER('05_VEHICLE'!$B$6),'05_VEHICLE'!$B$6*1000,"N/A")</f>
        <v/>
      </c>
      <c r="C29" s="10" t="inlineStr">
        <is>
          <t>mm</t>
        </is>
      </c>
      <c r="D29" s="10" t="inlineStr">
        <is>
          <t>REQ-001</t>
        </is>
      </c>
    </row>
    <row r="30">
      <c r="A30" s="4" t="inlineStr">
        <is>
          <t>Status REQ-001 (wheelbase mínimo 1525 mm)</t>
        </is>
      </c>
      <c r="B30" s="21">
        <f>IF(ISNUMBER($B$29),IF($B$29&gt;=1525,"PASS","FAIL - wheelbase abaixo do mínimo (V.1.2)"),"N/A - dado ausente")</f>
        <v/>
      </c>
      <c r="C30" s="10" t="inlineStr">
        <is>
          <t>-</t>
        </is>
      </c>
      <c r="D30" s="10" t="inlineStr">
        <is>
          <t>REQ-001</t>
        </is>
      </c>
    </row>
    <row r="31">
      <c r="A31" s="4" t="inlineStr">
        <is>
          <t>Razão entre bitolas (menor/maior) — 05_VEHICLE!B7 e B8</t>
        </is>
      </c>
      <c r="B31" s="21">
        <f>IF(AND(ISNUMBER('05_VEHICLE'!$B$7),ISNUMBER('05_VEHICLE'!$B$8)),MIN('05_VEHICLE'!$B$7,'05_VEHICLE'!$B$8)/MAX('05_VEHICLE'!$B$7,'05_VEHICLE'!$B$8),"N/A")</f>
        <v/>
      </c>
      <c r="C31" s="10" t="inlineStr">
        <is>
          <t>-</t>
        </is>
      </c>
      <c r="D31" s="10" t="inlineStr">
        <is>
          <t>REQ-002</t>
        </is>
      </c>
    </row>
    <row r="32">
      <c r="A32" s="4" t="inlineStr">
        <is>
          <t>Status REQ-002 (razão de bitolas mínima 0,75)</t>
        </is>
      </c>
      <c r="B32" s="21">
        <f>IF(ISNUMBER($B$31),IF($B$31&gt;=0.75,"PASS","FAIL - razão de bitolas abaixo de 0,75 (V.1.3.2)"),"N/A - dado ausente")</f>
        <v/>
      </c>
      <c r="C32" s="10" t="inlineStr">
        <is>
          <t>-</t>
        </is>
      </c>
      <c r="D32" s="10" t="inlineStr">
        <is>
          <t>REQ-002</t>
        </is>
      </c>
    </row>
    <row r="33">
      <c r="A33" s="2" t="inlineStr">
        <is>
          <t>Dados de entrada: E05 Key Parameters (comentários de 05_VEHICLE B6/B7/B8) — especificação, não medição independente. Estado de validação: NOT_VALIDATED (sem medição física).</t>
        </is>
      </c>
    </row>
  </sheetData>
  <mergeCells count="8">
    <mergeCell ref="A26:E26"/>
    <mergeCell ref="A24:E24"/>
    <mergeCell ref="A16:E16"/>
    <mergeCell ref="A10:E10"/>
    <mergeCell ref="A25:E25"/>
    <mergeCell ref="A28:E28"/>
    <mergeCell ref="A1:E1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0" customWidth="1" min="3" max="3"/>
    <col width="12" customWidth="1" min="4" max="4"/>
    <col width="55" customWidth="1" min="5" max="5"/>
  </cols>
  <sheetData>
    <row r="1" ht="22" customHeight="1">
      <c r="A1" s="1" t="inlineStr">
        <is>
          <t>14_DASHBOARD</t>
        </is>
      </c>
    </row>
    <row r="3">
      <c r="A3" s="3" t="inlineStr">
        <is>
          <t>Setup ativo</t>
        </is>
      </c>
    </row>
    <row r="4">
      <c r="A4" s="4" t="inlineStr">
        <is>
          <t>Setup</t>
        </is>
      </c>
      <c r="B4" s="21">
        <f>'01_SETUP'!$B$4&amp;" - "&amp;'01_SETUP'!$B$5</f>
        <v/>
      </c>
      <c r="C4" s="10" t="inlineStr">
        <is>
          <t>-</t>
        </is>
      </c>
      <c r="D4" s="10" t="inlineStr">
        <is>
          <t>-</t>
        </is>
      </c>
    </row>
    <row r="6">
      <c r="A6" s="3" t="inlineStr">
        <is>
          <t>Fz por canto (N)</t>
        </is>
      </c>
    </row>
    <row r="7">
      <c r="A7" s="4" t="inlineStr">
        <is>
          <t>Fz FL</t>
        </is>
      </c>
      <c r="B7" s="21">
        <f>'09_LOADS'!$B$31</f>
        <v/>
      </c>
      <c r="C7" s="10" t="inlineStr">
        <is>
          <t>N</t>
        </is>
      </c>
      <c r="D7" s="10" t="inlineStr">
        <is>
          <t>SUS-104</t>
        </is>
      </c>
    </row>
    <row r="8">
      <c r="A8" s="4" t="inlineStr">
        <is>
          <t>Fz FR</t>
        </is>
      </c>
      <c r="B8" s="21">
        <f>'09_LOADS'!$B$32</f>
        <v/>
      </c>
      <c r="C8" s="10" t="inlineStr">
        <is>
          <t>N</t>
        </is>
      </c>
      <c r="D8" s="10" t="inlineStr">
        <is>
          <t>SUS-104</t>
        </is>
      </c>
    </row>
    <row r="9">
      <c r="A9" s="4" t="inlineStr">
        <is>
          <t>Fz RL</t>
        </is>
      </c>
      <c r="B9" s="21">
        <f>'09_LOADS'!$B$33</f>
        <v/>
      </c>
      <c r="C9" s="10" t="inlineStr">
        <is>
          <t>N</t>
        </is>
      </c>
      <c r="D9" s="10" t="inlineStr">
        <is>
          <t>SUS-104</t>
        </is>
      </c>
    </row>
    <row r="10">
      <c r="A10" s="4" t="inlineStr">
        <is>
          <t>Fz RR</t>
        </is>
      </c>
      <c r="B10" s="21">
        <f>'09_LOADS'!$B$34</f>
        <v/>
      </c>
      <c r="C10" s="10" t="inlineStr">
        <is>
          <t>N</t>
        </is>
      </c>
      <c r="D10" s="10" t="inlineStr">
        <is>
          <t>SUS-104</t>
        </is>
      </c>
    </row>
    <row r="12">
      <c r="A12" s="3" t="inlineStr">
        <is>
          <t>Rigidez e Frequência</t>
        </is>
      </c>
    </row>
    <row r="13">
      <c r="A13" s="4" t="inlineStr">
        <is>
          <t>Wheel Rate dianteiro</t>
        </is>
      </c>
      <c r="B13" s="21">
        <f>'06_SUSPENSION'!$B$18</f>
        <v/>
      </c>
      <c r="C13" s="10" t="inlineStr">
        <is>
          <t>N/m</t>
        </is>
      </c>
      <c r="D13" s="10" t="inlineStr">
        <is>
          <t>SUS-202</t>
        </is>
      </c>
    </row>
    <row r="14">
      <c r="A14" s="4" t="inlineStr">
        <is>
          <t>Wheel Rate traseiro</t>
        </is>
      </c>
      <c r="B14" s="21">
        <f>'06_SUSPENSION'!$B$19</f>
        <v/>
      </c>
      <c r="C14" s="10" t="inlineStr">
        <is>
          <t>N/m</t>
        </is>
      </c>
      <c r="D14" s="10" t="inlineStr">
        <is>
          <t>SUS-202</t>
        </is>
      </c>
    </row>
    <row r="15">
      <c r="A15" s="4" t="inlineStr">
        <is>
          <t>Frequência Natural dianteira</t>
        </is>
      </c>
      <c r="B15" s="21">
        <f>'06_SUSPENSION'!$B$32</f>
        <v/>
      </c>
      <c r="C15" s="10" t="inlineStr">
        <is>
          <t>Hz</t>
        </is>
      </c>
      <c r="D15" s="10" t="inlineStr">
        <is>
          <t>SUS-205</t>
        </is>
      </c>
    </row>
    <row r="16">
      <c r="A16" s="4" t="inlineStr">
        <is>
          <t>Frequência Natural traseira</t>
        </is>
      </c>
      <c r="B16" s="21">
        <f>'06_SUSPENSION'!$B$33</f>
        <v/>
      </c>
      <c r="C16" s="10" t="inlineStr">
        <is>
          <t>Hz</t>
        </is>
      </c>
      <c r="D16" s="10" t="inlineStr">
        <is>
          <t>SUS-205</t>
        </is>
      </c>
    </row>
    <row r="17">
      <c r="A17" s="4" t="inlineStr">
        <is>
          <t>Distribuição de rigidez dianteira</t>
        </is>
      </c>
      <c r="B17" s="21">
        <f>'06_SUSPENSION'!$B$24</f>
        <v/>
      </c>
      <c r="C17" s="10" t="inlineStr">
        <is>
          <t>-</t>
        </is>
      </c>
      <c r="D17" s="10" t="inlineStr">
        <is>
          <t>SUS-208</t>
        </is>
      </c>
    </row>
    <row r="19">
      <c r="A19" s="3" t="inlineStr">
        <is>
          <t>Status de Validação</t>
        </is>
      </c>
    </row>
    <row r="20">
      <c r="A20" s="4" t="inlineStr">
        <is>
          <t>TC-004 (conservação de carga)</t>
        </is>
      </c>
      <c r="B20" s="21">
        <f>'13_VALIDATION'!$B$5</f>
        <v/>
      </c>
      <c r="C20" s="10" t="inlineStr">
        <is>
          <t>-</t>
        </is>
      </c>
      <c r="D20" s="10" t="inlineStr">
        <is>
          <t>-</t>
        </is>
      </c>
    </row>
    <row r="21">
      <c r="A21" s="4" t="inlineStr">
        <is>
          <t>TC-005 (conservação de momento lateral)</t>
        </is>
      </c>
      <c r="B21" s="21">
        <f>'13_VALIDATION'!$B$7</f>
        <v/>
      </c>
      <c r="C21" s="10" t="inlineStr">
        <is>
          <t>-</t>
        </is>
      </c>
      <c r="D21" s="10" t="inlineStr">
        <is>
          <t>-</t>
        </is>
      </c>
    </row>
    <row r="22">
      <c r="A22" s="4" t="inlineStr">
        <is>
          <t>REQ-003 (Tilt Test)</t>
        </is>
      </c>
      <c r="B22" s="21">
        <f>'13_VALIDATION'!$B$19</f>
        <v/>
      </c>
      <c r="C22" s="10" t="inlineStr">
        <is>
          <t>-</t>
        </is>
      </c>
      <c r="D22" s="10" t="inlineStr">
        <is>
          <t>-</t>
        </is>
      </c>
    </row>
    <row r="23">
      <c r="A23" s="4" t="inlineStr">
        <is>
          <t>REQ-004 (curso dianteiro)</t>
        </is>
      </c>
      <c r="B23" s="21">
        <f>'13_VALIDATION'!$B$21</f>
        <v/>
      </c>
      <c r="C23" s="10" t="inlineStr">
        <is>
          <t>-</t>
        </is>
      </c>
      <c r="D23" s="10" t="inlineStr">
        <is>
          <t>-</t>
        </is>
      </c>
    </row>
    <row r="24">
      <c r="A24" s="4" t="inlineStr">
        <is>
          <t>REQ-004 (curso traseiro)</t>
        </is>
      </c>
      <c r="B24" s="21">
        <f>'13_VALIDATION'!$B$22</f>
        <v/>
      </c>
      <c r="C24" s="10" t="inlineStr">
        <is>
          <t>-</t>
        </is>
      </c>
      <c r="D24" s="10" t="inlineStr">
        <is>
          <t>-</t>
        </is>
      </c>
    </row>
    <row r="26">
      <c r="A26" s="3" t="inlineStr">
        <is>
          <t>Governança — Requirements / Targets / Decisions</t>
        </is>
      </c>
    </row>
    <row r="27">
      <c r="A27" s="4" t="inlineStr">
        <is>
          <t>Requirements registrados</t>
        </is>
      </c>
      <c r="B27" s="21">
        <f>COUNTIF('02_REQUIREMENTS'!A:A,"REQ-*")</f>
        <v/>
      </c>
      <c r="C27" s="10" t="inlineStr">
        <is>
          <t>-</t>
        </is>
      </c>
      <c r="D27" s="10" t="inlineStr">
        <is>
          <t>-</t>
        </is>
      </c>
    </row>
    <row r="28">
      <c r="A28" s="4" t="inlineStr">
        <is>
          <t>Targets registrados</t>
        </is>
      </c>
      <c r="B28" s="21">
        <f>COUNTIF('03_TARGETS'!A:A,"TARGET-*")</f>
        <v/>
      </c>
      <c r="C28" s="10" t="inlineStr">
        <is>
          <t>-</t>
        </is>
      </c>
      <c r="D28" s="10" t="inlineStr">
        <is>
          <t>-</t>
        </is>
      </c>
    </row>
    <row r="29">
      <c r="A29" s="4" t="inlineStr">
        <is>
          <t>Targets em OPEN (sem valor real definido)</t>
        </is>
      </c>
      <c r="B29" s="21">
        <f>COUNTIF('03_TARGETS'!D:D,"OPEN")</f>
        <v/>
      </c>
      <c r="C29" s="10" t="inlineStr">
        <is>
          <t>-</t>
        </is>
      </c>
      <c r="D29" s="10" t="inlineStr">
        <is>
          <t>-</t>
        </is>
      </c>
    </row>
    <row r="30">
      <c r="A30" s="4" t="inlineStr">
        <is>
          <t>Decision Records registrados</t>
        </is>
      </c>
      <c r="B30" s="21">
        <f>COUNTIF('04_DECISION_REGISTER'!A:A,"DR-*")</f>
        <v/>
      </c>
      <c r="C30" s="10" t="inlineStr">
        <is>
          <t>-</t>
        </is>
      </c>
      <c r="D30" s="10" t="inlineStr">
        <is>
          <t>-</t>
        </is>
      </c>
    </row>
  </sheetData>
  <mergeCells count="6">
    <mergeCell ref="A12:E12"/>
    <mergeCell ref="A26:E26"/>
    <mergeCell ref="A19:E19"/>
    <mergeCell ref="A1:E1"/>
    <mergeCell ref="A6:E6"/>
    <mergeCell ref="A3:E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12" customWidth="1" min="4" max="4"/>
    <col width="55" customWidth="1" min="5" max="5"/>
  </cols>
  <sheetData>
    <row r="1" ht="22" customHeight="1">
      <c r="A1" s="1" t="inlineStr">
        <is>
          <t>15_CHANGELOG</t>
        </is>
      </c>
    </row>
    <row r="3">
      <c r="A3" s="3" t="inlineStr">
        <is>
          <t>Data</t>
        </is>
      </c>
      <c r="B3" s="3" t="inlineStr">
        <is>
          <t>Mudança</t>
        </is>
      </c>
      <c r="C3" s="3" t="inlineStr">
        <is>
          <t>Motivo</t>
        </is>
      </c>
    </row>
    <row r="4" ht="30" customHeight="1">
      <c r="A4" s="12" t="inlineStr">
        <is>
          <t>2026-09</t>
        </is>
      </c>
      <c r="B4" s="12" t="inlineStr">
        <is>
          <t>Migracao da arquitetura de 9 para 16 abas (00_README...15_CHANGELOG)</t>
        </is>
      </c>
      <c r="C4" s="12" t="inlineStr">
        <is>
          <t>Sistema evoluiu de 'planilha de suspensao' para sistema de engenharia/memoria institucional da Mecanica</t>
        </is>
      </c>
    </row>
    <row r="5" ht="30" customHeight="1">
      <c r="A5" s="12" t="inlineStr">
        <is>
          <t>2026-09</t>
        </is>
      </c>
      <c r="B5" s="12" t="inlineStr">
        <is>
          <t>Abas renomeadas (02_VEHICLE-&gt;05_VEHICLE, 03_SUSPENSION-&gt;06_SUSPENSION, etc.) via rename nativo do Excel</t>
        </is>
      </c>
      <c r="C5" s="12" t="inlineStr">
        <is>
          <t>Evitar reescrita manual de formulas - Excel atualiza referencias automaticamente ao renomear aba</t>
        </is>
      </c>
    </row>
    <row r="6" ht="30" customHeight="1">
      <c r="A6" s="12" t="inlineStr">
        <is>
          <t>2026-09</t>
        </is>
      </c>
      <c r="B6" s="12" t="inlineStr">
        <is>
          <t>SUS-103 (Milliken two-spring) cross-referenciado contra Chalmers/Sampo</t>
        </is>
      </c>
      <c r="C6" s="12" t="inlineStr">
        <is>
          <t>Transcricao conferida termo a termo contra fonte externa publicada - identica, sem divergencia</t>
        </is>
      </c>
    </row>
    <row r="7" ht="30" customHeight="1">
      <c r="A7" s="12" t="inlineStr">
        <is>
          <t>2026-09</t>
        </is>
      </c>
      <c r="B7" s="12" t="inlineStr">
        <is>
          <t>Wheel Rate do T09 corrigido de 21950 N/m (ambos os eixos) para 16112.23 F / 18418.2 R N/m</t>
        </is>
      </c>
      <c r="C7" s="12" t="inlineStr">
        <is>
          <t>Valor antigo vinha do spec sheet resumido (impreciso); planilha de calculo detalhada do T09 e mais confiavel</t>
        </is>
      </c>
    </row>
    <row r="8" ht="30" customHeight="1">
      <c r="A8" s="12" t="inlineStr">
        <is>
          <t>2026-09</t>
        </is>
      </c>
      <c r="B8" s="12" t="inlineStr">
        <is>
          <t>Natural Frequency reclassificada de NOT_VALIDATED para PASS no T09 Reference Case</t>
        </is>
      </c>
      <c r="C8" s="12" t="inlineStr">
        <is>
          <t>Massa suspensa real do T09 (nao a nao-suspensa) e suficiente para a formula SUS-205; erro de entendimento anterior corrigido</t>
        </is>
      </c>
    </row>
    <row r="9" ht="95" customHeight="1">
      <c r="A9" s="12" t="inlineStr">
        <is>
          <t>2026-10</t>
        </is>
      </c>
      <c r="B9" s="12" t="inlineStr">
        <is>
          <t>Decision Register consolidado: mantidas DR-001 a DR-009 da planilha (mais completas: Why/Constraints/Owner); adicionadas colunas Status e Origem; incluidas DR-010 (Design Mode explicito) e DR-011 (Tire como REFERENCE), vindas so do Guide.</t>
        </is>
      </c>
      <c r="C9" s="12" t="inlineStr">
        <is>
          <t>Planilha e Guide tinham versoes diferentes. Guide DR-008 (Tire) renumerado para DR-011 porque DR-008 da planilha (sem bridge Python-Excel) e outra decisao; Guide DR-009 ("solver interno nao e V1") tratado como a mesma decisao da DR-009 da planilha (Python-only, inicio da V2). Guide a alinhar depois.</t>
        </is>
      </c>
    </row>
    <row r="10" ht="95" customHeight="1">
      <c r="A10" s="12" t="inlineStr">
        <is>
          <t>2026-10</t>
        </is>
      </c>
      <c r="B10" s="12" t="inlineStr">
        <is>
          <t>V1.0: versionamento dos artefatos (Standard, Arquitetura, Data Contract, suspension_model, kinematics_model e testes, planilha). README: versao V1.0 e correcao do aviso de Anti-dive/squat (ja implementados com placeholders); 07_KINEMATICS: 11/11; referencias de arquivo atualizadas para *_V1_0.</t>
        </is>
      </c>
      <c r="C10" s="12" t="inlineStr">
        <is>
          <t>Regra de versao: V1.0 -&gt; V1.1 a cada pequena implementacao. Detalhes e divergencias abertas em registro-de-versoes-V1.0.md. Nenhuma formula foi alterada.</t>
        </is>
      </c>
    </row>
    <row r="11" ht="100" customHeight="1">
      <c r="A11" s="12" t="inlineStr">
        <is>
          <t>2026-10</t>
        </is>
      </c>
      <c r="B11" s="12" t="inlineStr">
        <is>
          <t>V2.0: Kinematics (solver 3D + schema de hardpoints, Python), validacoes de entrada e aviso Fz&lt;0 (Python). Planilha: 07_KINEMATICS ganha blocos de resultados do solver (N/A) e schema; DR-012; README/Setup atualizados. Nenhuma formula alterada.</t>
        </is>
      </c>
      <c r="C11" s="12" t="inlineStr">
        <is>
          <t>Resultados do solver sao cross-check e so entram na planilha com hardpoints reais. As propostas (IC lateral cinematico, %AD com sinal) NAO foram aplicadas as formulas de 06_SUSPENSION. Detalhes em registro-de-versoes-V2.0.md.</t>
        </is>
      </c>
    </row>
    <row r="12" ht="100" customHeight="1">
      <c r="A12" s="12" t="inlineStr">
        <is>
          <t>2026-10</t>
        </is>
      </c>
      <c r="B12" s="12" t="inlineStr">
        <is>
          <t>V2.1 PARCIAL: 13_VALIDATION ganha REQ-001 (wheelbase &gt;= 1525 mm) e REQ-002 (razao de bitolas &gt;= 0,75), linhas 28-33; comentario de proveniencia em REQ-003 (B19); README e nota em 04.</t>
        </is>
      </c>
      <c r="C12" s="12" t="inlineStr">
        <is>
          <t>Somente adicoes: nenhuma das 84 formulas anteriores foi alterada. REQ-004 e demais resultados dependentes de placeholders NAO foram alterados (aguardam a Decisao A, EDR-025). Mapa de dependencias: placeholder-dependency-map-V2.1.csv.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2026-09-25T16:11:23Z</dcterms:created>
  <dcterms:modified xmlns:dcterms="http://purl.org/dc/terms/" xmlns:xsi="http://www.w3.org/2001/XMLSchema-instance" xsi:type="dcterms:W3CDTF">2026-10-11T00:13:40Z</dcterms:modified>
</cp:coreProperties>
</file>