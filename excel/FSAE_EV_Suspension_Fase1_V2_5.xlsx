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SETUP" sheetId="2" state="visible" r:id="rId2"/>
    <sheet name="02_REQUIREMENTS" sheetId="3" state="visible" r:id="rId3"/>
    <sheet name="03_TARGETS" sheetId="4" state="visible" r:id="rId4"/>
    <sheet name="04_DECISION_REGISTER" sheetId="5" state="visible" r:id="rId5"/>
    <sheet name="05_VEHICLE" sheetId="6" state="visible" r:id="rId6"/>
    <sheet name="06_SUSPENSION" sheetId="7" state="visible" r:id="rId7"/>
    <sheet name="07_KINEMATICS" sheetId="8" state="visible" r:id="rId8"/>
    <sheet name="08_VEHICLE_STATE" sheetId="9" state="visible" r:id="rId9"/>
    <sheet name="09_LOADS" sheetId="10" state="visible" r:id="rId10"/>
    <sheet name="10_TIRE" sheetId="11" state="visible" r:id="rId11"/>
    <sheet name="11_DESIGN" sheetId="12" state="visible" r:id="rId12"/>
    <sheet name="12_COMPARISON" sheetId="13" state="visible" r:id="rId13"/>
    <sheet name="13_VALIDATION" sheetId="14" state="visible" r:id="rId14"/>
    <sheet name="14_DASHBOARD" sheetId="15" state="visible" r:id="rId15"/>
    <sheet name="15_CHANGE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color rgb="00007A5E"/>
      <sz val="10"/>
    </font>
    <font>
      <name val="Arial"/>
      <b val="1"/>
      <color rgb="00C55A11"/>
      <sz val="10"/>
    </font>
    <font>
      <name val="Arial"/>
      <color rgb="00000000"/>
      <sz val="10"/>
    </font>
    <font>
      <name val="Arial"/>
      <i val="1"/>
      <color rgb="00808080"/>
      <sz val="9"/>
    </font>
    <font>
      <name val="Arial"/>
      <i val="1"/>
      <color rgb="00808080"/>
      <sz val="10"/>
    </font>
    <font>
      <name val="Arial"/>
      <i val="1"/>
      <sz val="9"/>
    </font>
    <font>
      <name val="Arial"/>
      <i val="1"/>
      <color rgb="00C55A11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pivotButton="0" quotePrefix="0" xfId="0"/>
    <xf numFmtId="0" fontId="9" fillId="0" borderId="0" pivotButton="0" quotePrefix="0" xfId="0"/>
    <xf numFmtId="0" fontId="7" fillId="4" borderId="1" pivotButton="0" quotePrefix="0" xfId="0"/>
    <xf numFmtId="0" fontId="4" fillId="0" borderId="1" applyAlignment="1" pivotButton="0" quotePrefix="0" xfId="0">
      <alignment vertical="top" wrapText="1"/>
    </xf>
    <xf numFmtId="0" fontId="1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0" fontId="11" fillId="0" borderId="0" pivotButton="0" quotePrefix="0" xfId="0"/>
    <xf numFmtId="165" fontId="8" fillId="0" borderId="0" pivotButton="0" quotePrefix="0" xfId="0"/>
    <xf numFmtId="164" fontId="5" fillId="5" borderId="1" pivotButton="0" quotePrefix="0" xfId="0"/>
    <xf numFmtId="164" fontId="8" fillId="6" borderId="1" pivotButton="0" quotePrefix="0" xfId="0"/>
    <xf numFmtId="164" fontId="7" fillId="4" borderId="1" pivotButton="0" quotePrefix="0" xfId="0"/>
    <xf numFmtId="0" fontId="12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7" fillId="4" borderId="0" applyAlignment="1" pivotButton="0" quotePrefix="0" xfId="0">
      <alignment vertical="center" wrapText="1"/>
    </xf>
    <xf numFmtId="0" fontId="0" fillId="4" borderId="0" pivotButton="0" quotePrefix="0" xfId="0"/>
    <xf numFmtId="0" fontId="3" fillId="3" borderId="0" applyAlignment="1" pivotButton="0" quotePrefix="0" xfId="0">
      <alignment vertical="center" wrapText="1"/>
    </xf>
    <xf numFmtId="0" fontId="0" fillId="3" borderId="0" pivotButton="0" quotePrefix="0" xfId="0"/>
    <xf numFmtId="0" fontId="7" fillId="4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8" fillId="6" borderId="0" applyAlignment="1" pivotButton="0" quotePrefix="0" xfId="0">
      <alignment horizontal="left"/>
    </xf>
    <xf numFmtId="1" fontId="8" fillId="6" borderId="1" applyAlignment="1" pivotButton="0" quotePrefix="0" xfId="0">
      <alignment horizontal="left"/>
    </xf>
    <xf numFmtId="0" fontId="8" fillId="6" borderId="1" applyAlignment="1" pivotButton="0" quotePrefix="0" xfId="0">
      <alignment horizontal="left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6" borderId="1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64" fontId="13" fillId="6" borderId="1" pivotButton="0" quotePrefix="0" xfId="0"/>
    <xf numFmtId="1" fontId="8" fillId="6" borderId="1" pivotButton="0" quotePrefix="0" xfId="0"/>
    <xf numFmtId="0" fontId="6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Engineering Standard v0.1</author>
    <author>Sistema_DDS V2.2</author>
  </authors>
  <commentList>
    <comment ref="B4" authorId="0" shapeId="0">
      <text>
        <t>Identificador único do setup (namespace de Setup, ver arquitetura seção 8).</t>
      </text>
    </comment>
    <comment ref="B11" authorId="1" shapeId="0">
      <text>
        <t>T-REV-A = dataset TTC provisório Hoosier R25B (10_TIRE). O rótulo 'A' é proposta do V2.2 (Guia H.1: Tire T-REV-X muda com dataset/modelo). Trocar o dataset =&gt; nova revisão.</t>
      </text>
    </comment>
  </commentList>
</comments>
</file>

<file path=xl/comments/comment2.xml><?xml version="1.0" encoding="utf-8"?>
<comments xmlns="http://schemas.openxmlformats.org/spreadsheetml/2006/main">
  <authors>
    <author>Engineering Standard v0.1</author>
  </authors>
  <commentList>
    <comment ref="B4" authorId="0" shapeId="0">
      <text>
        <t>Fonte: adesivo SAE Brasil 2026 - medicao real (248.5 kg sem piloto) + 68 kg de piloto (referencia padrao FSAE, nao medida).</t>
      </text>
    </comment>
    <comment ref="B5" authorId="0" shapeId="0">
      <text>
        <t>Fonte: E05 (315mm, Key Parameters). Medida a partir do plano do solo (SUS-000), nao da origem do CAD.</t>
      </text>
    </comment>
    <comment ref="B6" authorId="0" shapeId="0">
      <text>
        <t>Fonte: E05 (1594mm, Key Parameters). Diverge do E03 (1550mm, chassi anterior).</t>
      </text>
    </comment>
    <comment ref="B7" authorId="0" shapeId="0">
      <text>
        <t>Fonte: E05 (1277mm, Key Parameters).</t>
      </text>
    </comment>
    <comment ref="B8" authorId="0" shapeId="0">
      <text>
        <t>Fonte: E05 (1271mm, Key Parameters).</t>
      </text>
    </comment>
    <comment ref="B9" authorId="0" shapeId="0">
      <text>
        <t>Derivado da distribuicao real medida no adesivo TX/E05 (48.43% dianteira, COM piloto) x wheelbase - consistente com mass_total (que inclui piloto).</t>
      </text>
    </comment>
    <comment ref="B10" authorId="0" shapeId="0">
      <text>
        <t>Derivado da distribuicao real medida no adesivo TX/E05 (51.57% traseira, COM piloto) x wheelbase.</t>
      </text>
    </comment>
    <comment ref="B14" authorId="0" shapeId="0">
      <text>
        <t>NAO DISPONIVEL para o TX/E05 (confirmado pela equipe: pesagem em plataforma mede carga total no solo, nao separa massa suspensa/nao-suspensa). Valor abaixo e ARBITRARIO - nao usar para decisao de projeto.</t>
      </text>
    </comment>
    <comment ref="B15" authorId="0" shapeId="0">
      <text>
        <t>NAO DISPONIVEL para o TX/E05 (mesma razao do SUS-007). Valor abaixo e ARBITRARIO - nao usar para decisao de projeto.</t>
      </text>
    </comment>
    <comment ref="B16" authorId="0" shapeId="0">
      <text>
        <t>Estimativa pelo raio do pneu 20.0-13 (E03, diametro 20.0in/2=0.254m). NAO e medicao real da equipe.</t>
      </text>
    </comment>
    <comment ref="B17" authorId="0" shapeId="0">
      <text>
        <t>Estimativa pelo raio do pneu 20.0-13 (E03, mesmo pneu dianteiro/traseiro). NAO e medicao real da equipe.</t>
      </text>
    </comment>
    <comment ref="B20" authorId="0" shapeId="0">
      <text>
        <t>SUS-000: coordenada Z do solo no sistema de coordenadas da equipe. Todas as alturas desta planilha já assumem conversão feita (medidas a partir do solo). Ver Engineering Standard, ficha SUS-000.</t>
      </text>
    </comment>
    <comment ref="B24" authorId="0" shapeId="0">
      <text>
        <t>h_s != h_CG total. Identidade de CG composto (verificada algebricamente na arquitetura, seção 17.4).</t>
      </text>
    </comment>
  </commentList>
</comments>
</file>

<file path=xl/comments/comment3.xml><?xml version="1.0" encoding="utf-8"?>
<comments xmlns="http://schemas.openxmlformats.org/spreadsheetml/2006/main">
  <authors>
    <author>Sistema_DDS V2.5</author>
    <author>Engineering Standard v0.1</author>
  </authors>
  <commentList>
    <comment ref="B4" authorId="0" shapeId="0">
      <text>
        <t>DEMONSTRATIVO (EDR-012/022): valor herdado do T09/E03, usado só para referência, comparação e teste das fórmulas (confirmado pelo usuário em 2026-10-19). Não é o TX/E05. Back-calculado da planilha detalhada T09 ('Ride Rate' front=16112.23 N/m, confirmado ser exatamente o Wheel Rate) x MR=1.76. CORRIGE valor anterior (baseado no spec sheet resumido, que arredondava F/R como iguais).</t>
      </text>
    </comment>
    <comment ref="B5" authorId="0" shapeId="0">
      <text>
        <t>DEMONSTRATIVO (EDR-012/022): valor herdado do T09/E03, usado só para referência, comparação e teste das fórmulas (confirmado pelo usuário em 2026-10-19). Não é o TX/E05. Back-calculado da planilha detalhada T09 ('Ride Rate' rear=18418.2 N/m) x MR=1.76.</t>
      </text>
    </comment>
    <comment ref="B6" authorId="0" shapeId="0">
      <text>
        <t>DEMONSTRATIVO (EDR-012/022): valor herdado do T09/E03, usado só para referência, comparação e teste das fórmulas (confirmado pelo usuário em 2026-10-19). Não é o TX/E05. Fonte: E03 (1.76:1). Assumido como convencao wheel/spring (igual a nossa) - E03 nao especifica a direcao explicitamente.</t>
      </text>
    </comment>
    <comment ref="B7" authorId="0" shapeId="0">
      <text>
        <t>DEMONSTRATIVO (EDR-012/022): valor herdado do T09/E03, usado só para referência, comparação e teste das fórmulas (confirmado pelo usuário em 2026-10-19). Não é o TX/E05. Fonte: E03 (1.76:1, mesmo valor da dianteira).</t>
      </text>
    </comment>
    <comment ref="B10" authorId="0" shapeId="0">
      <text>
        <t>DEMONSTRATIVO (EDR-012/022): valor herdado do T09/E03, usado só para referência, comparação e teste das fórmulas (confirmado pelo usuário em 2026-10-19). Não é o TX/E05. Fonte: planilha detalhada T09 (AntiRoll Bar Rate front). Valor direto, ja nao e mais back-calculado - resolve a inconsistencia identificada anteriormente.</t>
      </text>
    </comment>
    <comment ref="B11" authorId="0" shapeId="0">
      <text>
        <t>DEMONSTRATIVO (EDR-012/022): valor herdado do T09/E03, usado só para referência, comparação e teste das fórmulas (confirmado pelo usuário em 2026-10-19). Não é o TX/E05. Fonte: planilha detalhada T09 (AntiRoll Bar Rate rear, ~0, consistente com 'sem ARB' declarado). Inconsistencia anterior estava no Wheel Rate do spec sheet resumido, ja corrigida em SUS-203.</t>
      </text>
    </comment>
    <comment ref="B14" authorId="0" shapeId="0">
      <text>
        <t>DEMONSTRATIVO (EDR-012/022): valor herdado do T09/E03, usado só para referência, comparação e teste das fórmulas (confirmado pelo usuário em 2026-10-19). Não é o TX/E05. Fonte: planilha detalhada T09 (0.0675m) - mais precisa que o spec sheet resumido do E03 (60mm, arredondado). PROVISORIO ate Fase 2 (OptimumKinematics).</t>
      </text>
    </comment>
    <comment ref="B15" authorId="0" shapeId="0">
      <text>
        <t>DEMONSTRATIVO (EDR-012/022): valor herdado do T09/E03, usado só para referência, comparação e teste das fórmulas (confirmado pelo usuário em 2026-10-19). Não é o TX/E05. Fonte: E03 (110mm, Roll center height above ground static). PROVISORIO ate Fase 2 (OptimumKinematics).</t>
      </text>
    </comment>
    <comment ref="B20" authorId="1" shapeId="0">
      <text>
        <t>Componente so-mola, sem ARB. Mesma decomposicao ja verificada 7/7 no T09 Reference Case.</t>
      </text>
    </comment>
    <comment ref="B36" authorId="1" shapeId="0">
      <text>
        <t>PLACEHOLDER: fracao da forca de frenagem no eixo dianteiro (brake bias). Substituir pelo balanco de freio real do Setup.</t>
      </text>
    </comment>
    <comment ref="B37" authorId="1" shapeId="0">
      <text>
        <t>TF_r = 1 para RWD (hipotese congelada da V1). Revisitar se a equipe migrar para AWD.</t>
      </text>
    </comment>
    <comment ref="B40" authorId="1" shapeId="0">
      <text>
        <t>AD_f = FB_f * tan(phi_f) * (L/hCG) * 100. NAO altera a magnitude do load transfer longitudinal (SUS-102) - so descreve particao geometrica vs. elastica.</t>
      </text>
    </comment>
    <comment ref="B44" authorId="1" shapeId="0">
      <text>
        <t>PLACEHOLDER: razao entre angulo do volante e angulo medio das rodas dianteiras. Substituir por medicao real da cremalheira ou geometria do rack.</t>
      </text>
    </comment>
    <comment ref="B47" authorId="0" shapeId="0">
      <text>
        <t>PROVISÓRIO (EDR-045): VERTICAL_STIFFNESS do .tir TTC provisório (Hoosier R25B, EDR-038). Não é o pneu do carro nem medição da equipe: substituir pela rigidez vertical do pneu real. Milliken p. 591, Gillespie eq. 5-8 e Seward eq. 4.1 põem o pneu em série com a mola.</t>
      </text>
    </comment>
    <comment ref="B48" authorId="0" shapeId="0">
      <text>
        <t>PROVISÓRIO (EDR-045): VERTICAL_STIFFNESS do .tir TTC provisório (Hoosier R25B, EDR-038). Não é o pneu do carro nem medição da equipe: substituir pela rigidez vertical do pneu real. Milliken p. 591, Gillespie eq. 5-8 e Seward eq. 4.1 põem o pneu em série com a mola.</t>
      </text>
    </comment>
  </commentList>
</comments>
</file>

<file path=xl/comments/comment4.xml><?xml version="1.0" encoding="utf-8"?>
<comments xmlns="http://schemas.openxmlformats.org/spreadsheetml/2006/main">
  <authors>
    <author>Engineering Standard v0.1</author>
    <author>Sistema_DDS V2.5</author>
  </authors>
  <commentList>
    <comment ref="B7" authorId="0" shapeId="0">
      <text>
        <t>V1 usa apenas o KOP de ride height estatico. Curvas ao longo do curso (bump/rebound) ficam para Fase 2.</t>
      </text>
    </comment>
    <comment ref="B10" authorId="0" shapeId="0">
      <text>
        <t>PLACEHOLDER geometrico para teste de formula - NAO e hardpoint real. Fase 2: REFERENCE do OptimumKinematics.</t>
      </text>
    </comment>
    <comment ref="B14" authorId="1" shapeId="0">
      <text>
        <t>PLACEHOLDER: usa a altura do CG não suspenso traseiro (SUS-011), que a ficha aproxima pela altura do centro da roda. Substituir pela altura do centro da roda do CAD.</t>
      </text>
    </comment>
    <comment ref="B31" authorId="0" shapeId="0">
      <text>
        <t>PLACEHOLDER geometrico - NAO e medicao real do curso instalado. Substituir pelo curso real (bump+rebound) com piloto sentado, conforme V.3.1.1.</t>
      </text>
    </comment>
  </commentList>
</comments>
</file>

<file path=xl/comments/comment5.xml><?xml version="1.0" encoding="utf-8"?>
<comments xmlns="http://schemas.openxmlformats.org/spreadsheetml/2006/main">
  <authors>
    <author>Engineering Standard v0.1</author>
  </authors>
  <commentList>
    <comment ref="B4" authorId="0" shapeId="0">
      <text>
        <t>ISO 8855: a_x positivo = aceleração para frente (transfere carga para o eixo traseiro). Negativo = frenagem.</t>
      </text>
    </comment>
    <comment ref="B5" authorId="0" shapeId="0">
      <text>
        <t>ISO 8855: a_y positivo = para a esquerda (lado direito do carro ganha carga).</t>
      </text>
    </comment>
  </commentList>
</comments>
</file>

<file path=xl/comments/comment6.xml><?xml version="1.0" encoding="utf-8"?>
<comments xmlns="http://schemas.openxmlformats.org/spreadsheetml/2006/main">
  <authors>
    <author>Sistema_DDS V2.2</author>
  </authors>
  <commentList>
    <comment ref="B5" authorId="0" shapeId="0">
      <text>
        <t>Recebido do usuário (2026-10-12) como arquivo de TESTE para desenvolvimento, repassado por terceiro em chat (02/03/2026). Cabeçalho do .tir: Stackpole Engineering Services (M. Arbogast), cliente TTC, Hoosier R25B 177.8/53.6R13, aro 7 in, 12 psi, 25 mph, posição Right, criado em 13/10/2020. Prefixos de chat foram removidos; valores NÃO foram alterados. Não é necessariamente o pneu que será usado.</t>
      </text>
    </comment>
    <comment ref="B10" authorId="0" shapeId="0">
      <text>
        <t>V2.4: o usuário declarou que os dados foram baixados direto do TTC, que usa a convenção SAE (Calspan). Fonte secundária (tese UNCC 2015): no dado bruto TTC, α&gt;0 = curva à esquerda, Fy&lt;0 e Mz&lt;0 para α&gt;0, Fz negativo; o .tir tem Fz positivo (processado). NÃO confirmado pela documentação do TTC. Sinal de camber: INFERÊNCIA (empuxo de camber aponta para o lado da inclinação); a definição de IA do TTC não foi verificada. A V2.2/V2.3 diziam 'compatível com ISO': afirmação fraca (α e Fy trocam de sinal juntos entre SAE e ISO, então o pareamento não discrimina), retirada.</t>
      </text>
    </comment>
    <comment ref="B11" authorId="0" shapeId="0">
      <text>
        <t>Palavra-chave lida pelas fórmulas. SAE_CALSPAN: α_arquivo = −α_ISO; Fy_ISO = −Fy_arquivo; γ_arquivo = −γ_projeto (inferido). ISO_TYDEX: identidade. Qualquer outro texto =&gt; dataset INVÁLIDO. Fx e κ não mudam. Ver tire_model_V2_4.AXIS_TRANSFORMS e EDR-039.</t>
      </text>
    </comment>
    <comment ref="B16" authorId="0" shapeId="0">
      <text>
        <t>tire_model_V2_2 vs. transcrição de RPacejka::CalcMF52 (Racer v0.8.9) e do ramo MF5.2 do MFeval (Fx0/Fy0/combined_slip), 3000 pontos aleatórios na faixa do dataset: dif máx 3,4e-7 N (Racer) e 3,4e-4 N (MFeval). As duas fontes divergem entre si em LFZO e LGAX/LGAY (irrelevante com L*=1). Fonte primária (Pacejka, 2ª/3ª ed.) NÃO consultada diretamente. Ver test_tire_oracles_V2_2.py e EDR-042.</t>
      </text>
    </comment>
    <comment ref="B21" authorId="0" shapeId="0">
      <text>
        <t>Dataset é de pneu Right (TYRESIDE). Rodas L usam espelhamento (H4, decisão de projeto provisória): α_R=−α e Fy_L=−Fy_R; o camber do projeto (+ = topo para fora) vale nos dois lados. Depois, transformação de eixos do arquivo (SAE_CALSPAN→ISO). VERIF = pneu direito, caso fixo de verificação contra Python.</t>
      </text>
    </comment>
    <comment ref="F22" authorId="0" shapeId="0">
      <text>
        <t>Coluna VERIF: caso fixo (Fz=700 N, α=3°, γ=1,5°, κ=0,05, roda direita) cujo resultado é comparado ao de tire_model_V2_2.py em 13_VALIDATION. Não representa o carro.</t>
      </text>
    </comment>
    <comment ref="B23" authorId="0" shapeId="0">
      <text>
        <t>DEMONSTRATIVOS (EDR-022): α, γ e κ não vêm de nenhum cálculo do carro (não há modelo de slip na V2). Valores arbitrários coerentes em sinal com 08_VEHICLE_STATE (curva à esquerda, frenagem). Substitua por casos de carga definidos pela equipe.</t>
      </text>
    </comment>
    <comment ref="B24" authorId="0" shapeId="0">
      <text>
        <t>Camber de entrada manual (EDR-036 sem decisão: ainda não há ID para camber estático). Convenção do projeto: + = topo para fora, nos dois lados.</t>
      </text>
    </comment>
    <comment ref="B86" authorId="0" shapeId="0">
      <text>
        <t>Todos os coeficientes desta tabela: transcritos do .tir provisório (ver B-metadados). REFERENCE por natureza (DR-011), mas o DATASET é PROVISÓRIO. Mudou o dataset =&gt; mudar Tire REV (01_SETUP) e reexecutar 13_VALIDATION; resultados antigos viram STALE (Guia, H.3).</t>
      </text>
    </comment>
  </commentList>
</comments>
</file>

<file path=xl/comments/comment7.xml><?xml version="1.0" encoding="utf-8"?>
<comments xmlns="http://schemas.openxmlformats.org/spreadsheetml/2006/main">
  <authors>
    <author>Engineering Standard v0.1</author>
  </authors>
  <commentList>
    <comment ref="B19" authorId="0" shapeId="0">
      <text>
        <t>Mantem K_phiR (traseira) fixo; resolve o K_phiF necessario para atingir o lambda_f alvo.</t>
      </text>
    </comment>
  </commentList>
</comments>
</file>

<file path=xl/comments/comment8.xml><?xml version="1.0" encoding="utf-8"?>
<comments xmlns="http://schemas.openxmlformats.org/spreadsheetml/2006/main">
  <authors>
    <author>Engineering Standard v0.1</author>
    <author>Sistema_DDS V2.1</author>
  </authors>
  <commentList>
    <comment ref="B18" authorId="0" shapeId="0">
      <text>
        <t>Modelo estatico simplificado do Tilt Test: tan(theta_tip) = (bitola/2)/h_CG. Compara contra o angulo minimo exigido (60 graus, IN.11.2.2).</t>
      </text>
    </comment>
    <comment ref="B19" authorId="1" shapeId="0">
      <text>
        <t>Proveniência (V2.1): bitola = E05 Key Parameters (05_VEHICLE B7/B8); CG = 315 mm, E05 Key Parameters (05_VEHICLE B5). Modelo estático simplificado (B18). Estado: NOT_VALIDATED — sem CG medido por tilt-table nem Tilt Test real.</t>
      </text>
    </comment>
    <comment ref="B21" authorId="0" shapeId="0">
      <text>
        <t>Usa o curso PROVISORIO de 07_KINEMATICS - atualizar quando houver medicao real do curso instalado.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FSAE EV — Suspension Sizing Tool  |  Fase 1</t>
        </is>
      </c>
    </row>
    <row r="3">
      <c r="A3" s="2" t="inlineStr">
        <is>
          <t>Versão do workbook: V2.5 (revisão metodológica contra Milliken/Gillespie/Seward/Pacejka: pneu em série, termo gravitacional da rolagem, massa suspensa por eixo, anti com sinal, Ky com um λFz0; EDR-045 a EDR-049) | Status: DRAFT — cross-check, ainda NÃO REFERENCE-validated</t>
        </is>
      </c>
    </row>
    <row r="5">
      <c r="A5" s="3" t="inlineStr">
        <is>
          <t>O que este workbook é (e o que não é)</t>
        </is>
      </c>
    </row>
    <row r="6">
      <c r="A6" s="4" t="inlineStr">
        <is>
          <t>Este workbook implementa, em fórmulas nativas do Excel, as mesmas equações do Engineering Standard V2.0</t>
        </is>
      </c>
    </row>
    <row r="7">
      <c r="A7" s="4" t="inlineStr">
        <is>
          <t>(SUS-001 a SUS-104, SUS-201/202/205/206/207/208, SUS-501/502/503, SUS-701/702), já verificadas no piloto Python</t>
        </is>
      </c>
    </row>
    <row r="8">
      <c r="A8" s="4" t="inlineStr">
        <is>
          <t>(suspension_model_V2_1.py, tire_model_V2_2.py e seus testes; ver 13_VALIDATION).</t>
        </is>
      </c>
    </row>
    <row r="9">
      <c r="A9" s="4" t="inlineStr"/>
    </row>
    <row r="10">
      <c r="A10" s="4" t="inlineStr">
        <is>
          <t>Isso NÃO substitui o Python como motor de referência. O Data Contract V2.0 continua definindo o fluxo</t>
        </is>
      </c>
    </row>
    <row r="11">
      <c r="A11" s="4" t="inlineStr">
        <is>
          <t>Excel -&gt; input.json -&gt; Python -&gt; results.json -&gt; Excel para quando o bridge automático existir (Fase 2+).</t>
        </is>
      </c>
    </row>
    <row r="12">
      <c r="A12" s="4" t="inlineStr">
        <is>
          <t>Até lá, este Excel é uma segunda implementação independente das MESMAS equações, útil para uso diário</t>
        </is>
      </c>
    </row>
    <row r="13">
      <c r="A13" s="4" t="inlineStr">
        <is>
          <t>e como cross-check contra o Python — igual ao que já fazemos com RC/MR (REFERENCE vs. MODEL/CHECK).</t>
        </is>
      </c>
    </row>
    <row r="15">
      <c r="A15" s="3" t="inlineStr">
        <is>
          <t>Legenda de cores</t>
        </is>
      </c>
    </row>
    <row r="16">
      <c r="A16" s="5" t="inlineStr">
        <is>
          <t>■ Azul</t>
        </is>
      </c>
      <c r="B16" s="4" t="inlineStr">
        <is>
          <t>INPUT — editável pelo usuário</t>
        </is>
      </c>
    </row>
    <row r="17">
      <c r="A17" s="6" t="inlineStr">
        <is>
          <t>■ Verde-teal</t>
        </is>
      </c>
      <c r="B17" s="4" t="inlineStr">
        <is>
          <t>REFERENCE — vem do CAD/hardpoints (digitado manualmente até a Fase 2 ter Power Query)</t>
        </is>
      </c>
    </row>
    <row r="18">
      <c r="A18" s="7" t="inlineStr">
        <is>
          <t>■ Laranja + fundo</t>
        </is>
      </c>
      <c r="B18" s="4" t="inlineStr">
        <is>
          <t>PROVISÓRIO — normalmente viria do OptimumKinematics (Fase 2); input manual temporário</t>
        </is>
      </c>
    </row>
    <row r="19">
      <c r="A19" s="8" t="inlineStr">
        <is>
          <t>■ Preto + fundo cinza</t>
        </is>
      </c>
      <c r="B19" s="4" t="inlineStr">
        <is>
          <t>CALCULATED — fórmula, não editar</t>
        </is>
      </c>
    </row>
    <row r="20">
      <c r="A20" s="5" t="inlineStr">
        <is>
          <t>■ Amarelo</t>
        </is>
      </c>
      <c r="B20" s="4" t="inlineStr">
        <is>
          <t>Hipótese-chave / célula de atenção</t>
        </is>
      </c>
    </row>
    <row r="22">
      <c r="A22" s="3" t="inlineStr">
        <is>
          <t>Convenções congeladas (Engineering Standard, seção 4 e 17)</t>
        </is>
      </c>
    </row>
    <row r="23">
      <c r="A23" s="4" t="inlineStr">
        <is>
          <t>• Sistema de coordenadas: ISO 8855 — X positivo para frente, Y positivo para esquerda, Z positivo para cima.</t>
        </is>
      </c>
    </row>
    <row r="24">
      <c r="A24" s="4" t="inlineStr">
        <is>
          <t>• Pitch positivo = nariz descendo. Roll positivo = lado esquerdo sobe. Yaw positivo = anti-horário visto de cima.</t>
        </is>
      </c>
    </row>
    <row r="25">
      <c r="A25" s="4" t="inlineStr">
        <is>
          <t>• Motion Ratio = deslocamento da roda / deslocamento da mola (MR [wheel/spring]).</t>
        </is>
      </c>
    </row>
    <row r="26">
      <c r="A26" s="4" t="inlineStr">
        <is>
          <t>• Camber positivo = topo da roda para fora. Toe positivo = toe-out.</t>
        </is>
      </c>
    </row>
    <row r="27">
      <c r="A27" s="4" t="inlineStr">
        <is>
          <t>• a_x positivo = aceleração para frente (transfere carga para trás). a_y positivo = para a esquerda (lado direito ganha carga).</t>
        </is>
      </c>
    </row>
    <row r="28">
      <c r="A28" s="4" t="inlineStr">
        <is>
          <t>• SUS-000 (referência de solo): todas as alturas (h_CG, h_s, h_uF, h_uR, RC) são medidas a partir do solo, não da origem do CAD.</t>
        </is>
      </c>
    </row>
    <row r="30">
      <c r="A30" s="3" t="inlineStr">
        <is>
          <t>Limitações conhecidas da V1.0 (declaradas, não escondidas)</t>
        </is>
      </c>
    </row>
    <row r="31">
      <c r="A31" s="4" t="inlineStr">
        <is>
          <t>• Quase-estático: sem dinâmica transiente, sem modelo de amortecedor.</t>
        </is>
      </c>
    </row>
    <row r="32">
      <c r="A32" s="4" t="inlineStr">
        <is>
          <t>• RC tratado como ponto fixo no ride height estático — migração de RC durante rolagem não modelada.</t>
        </is>
      </c>
    </row>
    <row r="33">
      <c r="A33" s="4" t="inlineStr">
        <is>
          <t>• Aero fixo por Setup (sem F_aero(v)) — decisão congelada para V1.</t>
        </is>
      </c>
    </row>
    <row r="34">
      <c r="A34" s="4" t="inlineStr">
        <is>
          <t>• Anti-dive/Anti-squat (SUS-301/302) estão implementados em 06_SUSPENSION, mas com FB_f, TF_r e Instant Center PLACEHOLDER (07_KINEMATICS) — não são valores reais do carro; a linha geométrica (contact patch vs. wheel center) ainda depende da configuração real de freio/trem de força. V2.0: o método de IC lateral e a forma sem sinal de tan(φ) usados nestas fórmulas são os da V1 (Standard V2.0, notas de SUS-406/301/302: mal condicionado e sem sinal físico); os valores seguem PLACEHOLDER e não representam o carro.</t>
        </is>
      </c>
    </row>
    <row r="35">
      <c r="A35" s="4" t="inlineStr">
        <is>
          <t>• Roll Center (linhas 06_SUSPENSION) é PROVISÓRIO — inserir manualmente até o OptimumKinematics estar integrado (Fase 2).</t>
        </is>
      </c>
    </row>
    <row r="36">
      <c r="A36" s="4" t="inlineStr">
        <is>
          <t>• Modelo linear de Fz por canto só é válido enquanto Fz &gt;= 0 — resultado negativo indica perda de contato do pneu e extrapola o modelo (ver 13_VALIDATION).</t>
        </is>
      </c>
    </row>
    <row r="37" ht="42" customHeight="1">
      <c r="A37" s="4" t="inlineStr">
        <is>
          <t>• Pneu (10_TIRE): coeficientes de um .tir TTC PROVISÓRIO (pode não ser o pneu real); arquivo em SAE (TTC, declarado) transformado para ISO, sinal de camber não confirmado; sem Mx/My/Mz, pressão ou relaxamento; fora da faixa do dataset o resultado é N/A. μ efetivo é derivado do dataset, não medido pela equipe.</t>
        </is>
      </c>
    </row>
  </sheetData>
  <mergeCells count="31">
    <mergeCell ref="A30:E30"/>
    <mergeCell ref="A34:E34"/>
    <mergeCell ref="A24:E24"/>
    <mergeCell ref="A15:E15"/>
    <mergeCell ref="A11:E11"/>
    <mergeCell ref="A1:E1"/>
    <mergeCell ref="A36:E36"/>
    <mergeCell ref="B20:E20"/>
    <mergeCell ref="A6:E6"/>
    <mergeCell ref="A7:E7"/>
    <mergeCell ref="A25:E25"/>
    <mergeCell ref="B16:E16"/>
    <mergeCell ref="A37:E37"/>
    <mergeCell ref="A27:E27"/>
    <mergeCell ref="A12:E12"/>
    <mergeCell ref="B18:E18"/>
    <mergeCell ref="A26:E26"/>
    <mergeCell ref="A33:E33"/>
    <mergeCell ref="A5:E5"/>
    <mergeCell ref="A23:E23"/>
    <mergeCell ref="A32:E32"/>
    <mergeCell ref="A8:E8"/>
    <mergeCell ref="A22:E22"/>
    <mergeCell ref="B17:E17"/>
    <mergeCell ref="A35:E35"/>
    <mergeCell ref="A10:E10"/>
    <mergeCell ref="A28:E28"/>
    <mergeCell ref="A13:E13"/>
    <mergeCell ref="B19:E19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01_SETUP</t>
        </is>
      </c>
    </row>
    <row r="3">
      <c r="A3" s="3" t="inlineStr">
        <is>
          <t>Setup ativo</t>
        </is>
      </c>
    </row>
    <row r="4">
      <c r="A4" s="4" t="inlineStr">
        <is>
          <t>Setup ID</t>
        </is>
      </c>
      <c r="B4" s="9" t="inlineStr">
        <is>
          <t>S-001</t>
        </is>
      </c>
      <c r="C4" s="10" t="inlineStr"/>
      <c r="D4" s="10" t="inlineStr"/>
    </row>
    <row r="5">
      <c r="A5" s="4" t="inlineStr">
        <is>
          <t>Nome do Setup</t>
        </is>
      </c>
      <c r="B5" s="9" t="inlineStr">
        <is>
          <t>Baseline</t>
        </is>
      </c>
      <c r="C5" s="10" t="inlineStr"/>
      <c r="D5" s="10" t="inlineStr"/>
    </row>
    <row r="6">
      <c r="A6" s="4" t="inlineStr">
        <is>
          <t>Notas</t>
        </is>
      </c>
      <c r="B6" s="9" t="inlineStr">
        <is>
          <t>Setup de referência para o piloto</t>
        </is>
      </c>
      <c r="C6" s="10" t="inlineStr"/>
      <c r="D6" s="10" t="inlineStr"/>
    </row>
    <row r="8">
      <c r="A8" s="3" t="inlineStr">
        <is>
          <t>Revisões (DEC-012 — cada domínio é independente)</t>
        </is>
      </c>
    </row>
    <row r="9">
      <c r="A9" s="4" t="inlineStr">
        <is>
          <t>Geometry REV</t>
        </is>
      </c>
      <c r="B9" s="9" t="inlineStr">
        <is>
          <t>G-REV-A</t>
        </is>
      </c>
      <c r="C9" s="10" t="inlineStr"/>
      <c r="D9" s="10" t="inlineStr"/>
    </row>
    <row r="10">
      <c r="A10" s="4" t="inlineStr">
        <is>
          <t>Kinematics REV</t>
        </is>
      </c>
      <c r="B10" s="11" t="inlineStr">
        <is>
          <t>N/A (Fase 2)</t>
        </is>
      </c>
      <c r="C10" s="10" t="inlineStr"/>
      <c r="D10" s="10" t="inlineStr"/>
    </row>
    <row r="11">
      <c r="A11" s="4" t="inlineStr">
        <is>
          <t>Tire REV</t>
        </is>
      </c>
      <c r="B11" s="11" t="inlineStr">
        <is>
          <t>T-REV-A (provisório)</t>
        </is>
      </c>
      <c r="C11" s="10" t="inlineStr"/>
      <c r="D11" s="10" t="inlineStr"/>
    </row>
    <row r="12">
      <c r="A12" s="4" t="inlineStr">
        <is>
          <t>Dynamics Script Version</t>
        </is>
      </c>
      <c r="B12" s="9" t="inlineStr">
        <is>
          <t>V2.0</t>
        </is>
      </c>
      <c r="C12" s="10" t="inlineStr"/>
      <c r="D12" s="10" t="inlineStr"/>
    </row>
  </sheetData>
  <mergeCells count="3">
    <mergeCell ref="A8:E8"/>
    <mergeCell ref="A1:E1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24" t="inlineStr">
        <is>
          <t>02_REQUIREMENTS</t>
        </is>
      </c>
    </row>
    <row r="3">
      <c r="A3" s="3" t="inlineStr">
        <is>
          <t>Requisitos do Rulebook (FSAE Rules 2026 V1.0) pertinentes ao domínio já modelado</t>
        </is>
      </c>
    </row>
    <row r="4">
      <c r="A4" s="3" t="inlineStr">
        <is>
          <t>ID</t>
        </is>
      </c>
      <c r="B4" s="3" t="inlineStr">
        <is>
          <t>Requirement</t>
        </is>
      </c>
      <c r="C4" s="3" t="inlineStr">
        <is>
          <t>Value</t>
        </is>
      </c>
      <c r="D4" s="3" t="inlineStr">
        <is>
          <t>Type</t>
        </is>
      </c>
      <c r="E4" s="3" t="inlineStr">
        <is>
          <t>Source</t>
        </is>
      </c>
      <c r="F4" s="3" t="inlineStr">
        <is>
          <t>Status</t>
        </is>
      </c>
      <c r="G4" s="3" t="inlineStr">
        <is>
          <t>Owner</t>
        </is>
      </c>
      <c r="H4" s="3" t="inlineStr">
        <is>
          <t>Revision</t>
        </is>
      </c>
    </row>
    <row r="5" ht="45" customHeight="1">
      <c r="A5" s="12" t="inlineStr">
        <is>
          <t>REQ-001</t>
        </is>
      </c>
      <c r="B5" s="12" t="inlineStr">
        <is>
          <t>Wheelbase mínimo (SUS-003)</t>
        </is>
      </c>
      <c r="C5" s="12" t="inlineStr">
        <is>
          <t>&gt;= 1525 mm</t>
        </is>
      </c>
      <c r="D5" s="12" t="inlineStr">
        <is>
          <t>Geometry</t>
        </is>
      </c>
      <c r="E5" s="12" t="inlineStr">
        <is>
          <t>Rulebook V.1.2</t>
        </is>
      </c>
      <c r="F5" s="12" t="inlineStr">
        <is>
          <t>ACTIVE</t>
        </is>
      </c>
      <c r="G5" s="12" t="inlineStr">
        <is>
          <t>N/A (externo)</t>
        </is>
      </c>
      <c r="H5" s="12" t="inlineStr">
        <is>
          <t>FSAE Rules 2026 V1.0</t>
        </is>
      </c>
    </row>
    <row r="6" ht="45" customHeight="1">
      <c r="A6" s="12" t="inlineStr">
        <is>
          <t>REQ-002</t>
        </is>
      </c>
      <c r="B6" s="12" t="inlineStr">
        <is>
          <t>Razão entre bitolas (SUS-004/SUS-005): a menor não pode ser &lt; 75% da maior</t>
        </is>
      </c>
      <c r="C6" s="12" t="inlineStr">
        <is>
          <t>&gt;= 0.75 (menor/maior)</t>
        </is>
      </c>
      <c r="D6" s="12" t="inlineStr">
        <is>
          <t>Geometry</t>
        </is>
      </c>
      <c r="E6" s="12" t="inlineStr">
        <is>
          <t>Rulebook V.1.3.2</t>
        </is>
      </c>
      <c r="F6" s="12" t="inlineStr">
        <is>
          <t>ACTIVE</t>
        </is>
      </c>
      <c r="G6" s="12" t="inlineStr">
        <is>
          <t>N/A (externo)</t>
        </is>
      </c>
      <c r="H6" s="12" t="inlineStr">
        <is>
          <t>FSAE Rules 2026 V1.0</t>
        </is>
      </c>
    </row>
    <row r="7" ht="45" customHeight="1">
      <c r="A7" s="12" t="inlineStr">
        <is>
          <t>REQ-003</t>
        </is>
      </c>
      <c r="B7" s="12" t="inlineStr">
        <is>
          <t>Estabilidade ao capotamento: bitola + CG (SUS-002, SUS-004/005) devem combinar para o veículo não capotar no Tilt Test</t>
        </is>
      </c>
      <c r="C7" s="12" t="inlineStr">
        <is>
          <t>não capota a 60° de inclinação (~1.7g lateral equivalente)</t>
        </is>
      </c>
      <c r="D7" s="12" t="inlineStr">
        <is>
          <t>Safety</t>
        </is>
      </c>
      <c r="E7" s="12" t="inlineStr">
        <is>
          <t>Rulebook V.1.3.1 + IN.11.2.2 (Tilt Test)</t>
        </is>
      </c>
      <c r="F7" s="12" t="inlineStr">
        <is>
          <t>ACTIVE</t>
        </is>
      </c>
      <c r="G7" s="12" t="inlineStr">
        <is>
          <t>N/A (externo)</t>
        </is>
      </c>
      <c r="H7" s="12" t="inlineStr">
        <is>
          <t>FSAE Rules 2026 V1.0</t>
        </is>
      </c>
    </row>
    <row r="8" ht="45" customHeight="1">
      <c r="A8" s="12" t="inlineStr">
        <is>
          <t>REQ-004</t>
        </is>
      </c>
      <c r="B8" s="12" t="inlineStr">
        <is>
          <t>Curso útil mínimo de suspensão, dianteiro e traseiro, com piloto sentado</t>
        </is>
      </c>
      <c r="C8" s="12" t="inlineStr">
        <is>
          <t>&gt;= 50 mm</t>
        </is>
      </c>
      <c r="D8" s="12" t="inlineStr">
        <is>
          <t>Competition</t>
        </is>
      </c>
      <c r="E8" s="12" t="inlineStr">
        <is>
          <t>Rulebook V.3.1.1</t>
        </is>
      </c>
      <c r="F8" s="12" t="inlineStr">
        <is>
          <t>ACTIVE</t>
        </is>
      </c>
      <c r="G8" s="12" t="inlineStr">
        <is>
          <t>N/A (externo)</t>
        </is>
      </c>
      <c r="H8" s="12" t="inlineStr">
        <is>
          <t>FSAE Rules 2026 V1.0</t>
        </is>
      </c>
    </row>
    <row r="9" ht="45" customHeight="1">
      <c r="A9" s="12" t="inlineStr">
        <is>
          <t>REQ-005</t>
        </is>
      </c>
      <c r="B9" s="12" t="inlineStr">
        <is>
          <t>Diâmetro mínimo de roda (afeta estimativa de altura de CG não-suspenso, SUS-010/011)</t>
        </is>
      </c>
      <c r="C9" s="12" t="inlineStr">
        <is>
          <t>&gt;= 203.2 mm (8.0 in)</t>
        </is>
      </c>
      <c r="D9" s="12" t="inlineStr">
        <is>
          <t>Components</t>
        </is>
      </c>
      <c r="E9" s="12" t="inlineStr">
        <is>
          <t>Rulebook V.4.1</t>
        </is>
      </c>
      <c r="F9" s="12" t="inlineStr">
        <is>
          <t>ACTIVE</t>
        </is>
      </c>
      <c r="G9" s="12" t="inlineStr">
        <is>
          <t>N/A (externo)</t>
        </is>
      </c>
      <c r="H9" s="12" t="inlineStr">
        <is>
          <t>FSAE Rules 2026 V1.0</t>
        </is>
      </c>
    </row>
    <row r="10" ht="45" customHeight="1">
      <c r="A10" s="12" t="inlineStr">
        <is>
          <t>REQ-006</t>
        </is>
      </c>
      <c r="B10" s="12" t="inlineStr">
        <is>
          <t>Sistema de freio deve travar as 4 rodas com controle único e 2 circuitos hidráulicos independentes; para EV, ate 90% do curso do pedal pode ser regenerativo antes de acionar o hidraulico (contexto para SUS-013)</t>
        </is>
      </c>
      <c r="C10" s="12" t="inlineStr">
        <is>
          <t>4 rodas / 2 circuitos / 90% pedal regen (EV)</t>
        </is>
      </c>
      <c r="D10" s="12" t="inlineStr">
        <is>
          <t>Safety</t>
        </is>
      </c>
      <c r="E10" s="12" t="inlineStr">
        <is>
          <t>Rulebook T.3.1.2, T.3.1.3, T.3.2.4</t>
        </is>
      </c>
      <c r="F10" s="12" t="inlineStr">
        <is>
          <t>ACTIVE</t>
        </is>
      </c>
      <c r="G10" s="12" t="inlineStr">
        <is>
          <t>N/A (externo)</t>
        </is>
      </c>
      <c r="H10" s="12" t="inlineStr">
        <is>
          <t>FSAE Rules 2026 V1.0</t>
        </is>
      </c>
    </row>
    <row r="12">
      <c r="A12" s="13" t="inlineStr">
        <is>
          <t>Requisitos acima vêm exclusivamente do Rulebook (FSAE Rules 2026 V1.0) - citação de regra exata em cada linha.</t>
        </is>
      </c>
    </row>
    <row r="13">
      <c r="A13" s="13" t="inlineStr">
        <is>
          <t>Restrições próprias da equipe (Team/Packaging/Manufacturing) ainda NÃO foram definidas - serão adicionadas quando a equipe as fornecer, não antes.</t>
        </is>
      </c>
    </row>
  </sheetData>
  <mergeCells count="4">
    <mergeCell ref="A12:H12"/>
    <mergeCell ref="A1:E1"/>
    <mergeCell ref="A13:H1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24" t="inlineStr">
        <is>
          <t>03_TARGETS</t>
        </is>
      </c>
    </row>
    <row r="3">
      <c r="A3" s="3" t="inlineStr">
        <is>
          <t>Targets (aquilo que a equipe quer atingir) — ESTRUTURA, sem valores inventados</t>
        </is>
      </c>
    </row>
    <row r="4">
      <c r="A4" s="3" t="inlineStr">
        <is>
          <t>ID</t>
        </is>
      </c>
      <c r="B4" s="3" t="inlineStr">
        <is>
          <t>Parameter</t>
        </is>
      </c>
      <c r="C4" s="3" t="inlineStr">
        <is>
          <t>Target</t>
        </is>
      </c>
      <c r="D4" s="3" t="inlineStr">
        <is>
          <t>Status</t>
        </is>
      </c>
      <c r="E4" s="3" t="inlineStr">
        <is>
          <t>Owner</t>
        </is>
      </c>
      <c r="F4" s="3" t="inlineStr">
        <is>
          <t>Decision</t>
        </is>
      </c>
      <c r="G4" s="3" t="inlineStr">
        <is>
          <t>Revision</t>
        </is>
      </c>
    </row>
    <row r="5">
      <c r="A5" s="14" t="inlineStr">
        <is>
          <t>TARGET-001</t>
        </is>
      </c>
      <c r="B5" s="14" t="inlineStr">
        <is>
          <t>Front Natural Frequency (SUS-205)</t>
        </is>
      </c>
      <c r="C5" s="9" t="inlineStr">
        <is>
          <t>TBD</t>
        </is>
      </c>
      <c r="D5" s="14" t="inlineStr">
        <is>
          <t>OPEN</t>
        </is>
      </c>
      <c r="E5" s="14" t="inlineStr">
        <is>
          <t>TBD</t>
        </is>
      </c>
      <c r="F5" s="14" t="inlineStr">
        <is>
          <t>-</t>
        </is>
      </c>
      <c r="G5" s="15" t="inlineStr">
        <is>
          <t>-</t>
        </is>
      </c>
    </row>
    <row r="6">
      <c r="A6" s="14" t="inlineStr">
        <is>
          <t>TARGET-002</t>
        </is>
      </c>
      <c r="B6" s="14" t="inlineStr">
        <is>
          <t>Rear Natural Frequency (SUS-205)</t>
        </is>
      </c>
      <c r="C6" s="9" t="inlineStr">
        <is>
          <t>TBD</t>
        </is>
      </c>
      <c r="D6" s="14" t="inlineStr">
        <is>
          <t>OPEN</t>
        </is>
      </c>
      <c r="E6" s="14" t="inlineStr">
        <is>
          <t>TBD</t>
        </is>
      </c>
      <c r="F6" s="14" t="inlineStr">
        <is>
          <t>-</t>
        </is>
      </c>
      <c r="G6" s="15" t="inlineStr">
        <is>
          <t>-</t>
        </is>
      </c>
    </row>
    <row r="7">
      <c r="A7" s="14" t="inlineStr">
        <is>
          <t>TARGET-003</t>
        </is>
      </c>
      <c r="B7" s="14" t="inlineStr">
        <is>
          <t>Roll Stiffness Distribution - lambda_f (SUS-208)</t>
        </is>
      </c>
      <c r="C7" s="9" t="inlineStr">
        <is>
          <t>TBD</t>
        </is>
      </c>
      <c r="D7" s="14" t="inlineStr">
        <is>
          <t>OPEN</t>
        </is>
      </c>
      <c r="E7" s="14" t="inlineStr">
        <is>
          <t>TBD</t>
        </is>
      </c>
      <c r="F7" s="14" t="inlineStr">
        <is>
          <t>-</t>
        </is>
      </c>
      <c r="G7" s="15" t="inlineStr">
        <is>
          <t>-</t>
        </is>
      </c>
    </row>
    <row r="8">
      <c r="A8" s="14" t="inlineStr">
        <is>
          <t>TARGET-004</t>
        </is>
      </c>
      <c r="B8" s="14" t="inlineStr">
        <is>
          <t>Anti-Dive % (SUS-301)</t>
        </is>
      </c>
      <c r="C8" s="9" t="inlineStr">
        <is>
          <t>TBD</t>
        </is>
      </c>
      <c r="D8" s="14" t="inlineStr">
        <is>
          <t>OPEN</t>
        </is>
      </c>
      <c r="E8" s="14" t="inlineStr">
        <is>
          <t>TBD</t>
        </is>
      </c>
      <c r="F8" s="14" t="inlineStr">
        <is>
          <t>-</t>
        </is>
      </c>
      <c r="G8" s="15" t="inlineStr">
        <is>
          <t>-</t>
        </is>
      </c>
    </row>
    <row r="9">
      <c r="A9" s="14" t="inlineStr">
        <is>
          <t>TARGET-005</t>
        </is>
      </c>
      <c r="B9" s="14" t="inlineStr">
        <is>
          <t>Anti-Squat % (SUS-302)</t>
        </is>
      </c>
      <c r="C9" s="9" t="inlineStr">
        <is>
          <t>TBD</t>
        </is>
      </c>
      <c r="D9" s="14" t="inlineStr">
        <is>
          <t>OPEN</t>
        </is>
      </c>
      <c r="E9" s="14" t="inlineStr">
        <is>
          <t>TBD</t>
        </is>
      </c>
      <c r="F9" s="14" t="inlineStr">
        <is>
          <t>-</t>
        </is>
      </c>
      <c r="G9" s="15" t="inlineStr">
        <is>
          <t>-</t>
        </is>
      </c>
    </row>
    <row r="11">
      <c r="A11" s="13" t="inlineStr">
        <is>
          <t>'Target' = TBD e Status = OPEN deliberadamente: nenhum valor-alvo real foi definido pela equipe ainda.</t>
        </is>
      </c>
    </row>
    <row r="12">
      <c r="A12" s="13" t="inlineStr">
        <is>
          <t>Parametros como Motion Ratio, Spring Rate e Wheel Rate NAO viram Target aqui de proposito - sao consequencia de geometria/packaging/Design Mode, nao objetivos primarios.</t>
        </is>
      </c>
    </row>
  </sheetData>
  <mergeCells count="4">
    <mergeCell ref="A11:G11"/>
    <mergeCell ref="A1:E1"/>
    <mergeCell ref="A12:G1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40" customWidth="1" min="4" max="4"/>
    <col width="30" customWidth="1" min="5" max="5"/>
    <col width="22" customWidth="1" min="6" max="6"/>
    <col width="14" customWidth="1" min="7" max="7"/>
    <col width="20" customWidth="1" min="8" max="8"/>
  </cols>
  <sheetData>
    <row r="1" ht="22" customHeight="1">
      <c r="A1" s="24" t="inlineStr">
        <is>
          <t>04_DECISION_REGISTER</t>
        </is>
      </c>
    </row>
    <row r="3">
      <c r="A3" s="3" t="inlineStr">
        <is>
          <t>Decisões já tomadas (arquitetura/física da V1) — registro consolidado (planilha + Guide, Apêndice E)</t>
        </is>
      </c>
    </row>
    <row r="4">
      <c r="A4" s="3" t="inlineStr">
        <is>
          <t>ID</t>
        </is>
      </c>
      <c r="B4" s="3" t="inlineStr">
        <is>
          <t>Target/Escopo</t>
        </is>
      </c>
      <c r="C4" s="3" t="inlineStr">
        <is>
          <t>Decision</t>
        </is>
      </c>
      <c r="D4" s="3" t="inlineStr">
        <is>
          <t>Why</t>
        </is>
      </c>
      <c r="E4" s="3" t="inlineStr">
        <is>
          <t>Constraints</t>
        </is>
      </c>
      <c r="F4" s="3" t="inlineStr">
        <is>
          <t>Owner</t>
        </is>
      </c>
      <c r="G4" s="3" t="inlineStr">
        <is>
          <t>Status</t>
        </is>
      </c>
      <c r="H4" s="3" t="inlineStr">
        <is>
          <t>Origem</t>
        </is>
      </c>
    </row>
    <row r="5" ht="60" customHeight="1">
      <c r="A5" s="12" t="inlineStr">
        <is>
          <t>DR-001</t>
        </is>
      </c>
      <c r="B5" s="12" t="inlineStr">
        <is>
          <t>Convenções (todos os SUS-XXX)</t>
        </is>
      </c>
      <c r="C5" s="12" t="inlineStr">
        <is>
          <t>Sistema de coordenadas ISO 8855 (X-frente, Y-esquerda, Z-cima), destrogiro, sinais por regra da mao direita sem excecao intuitiva.</t>
        </is>
      </c>
      <c r="D5" s="12" t="inlineStr">
        <is>
          <t>Padrao internacional de dinamica veicular; evita ambiguidade entre pitch/roll/yaw ao importar dados de ferramentas externas.</t>
        </is>
      </c>
      <c r="E5" s="12" t="inlineStr">
        <is>
          <t>Compatibilidade com OptimumKinematics (configuravel) e Lotus (requer adapter de sinal).</t>
        </is>
      </c>
      <c r="F5" s="12" t="inlineStr">
        <is>
          <t>Mecanica (decisao de arquitetura)</t>
        </is>
      </c>
      <c r="G5" s="12" t="inlineStr">
        <is>
          <t>FROZEN</t>
        </is>
      </c>
      <c r="H5" s="12" t="inlineStr">
        <is>
          <t>Planilha + Guide</t>
        </is>
      </c>
    </row>
    <row r="6" ht="60" customHeight="1">
      <c r="A6" s="12" t="inlineStr">
        <is>
          <t>DR-002</t>
        </is>
      </c>
      <c r="B6" s="12" t="inlineStr">
        <is>
          <t>SUS-201/202</t>
        </is>
      </c>
      <c r="C6" s="12" t="inlineStr">
        <is>
          <t>Motion Ratio definido como wheel travel / spring travel (nao a convencao inversa).</t>
        </is>
      </c>
      <c r="D6" s="12" t="inlineStr">
        <is>
          <t>Convencao unica evita erro de fator ao converter Ks&lt;-&gt;Kw; nomenclatura explicita 'MR [wheel/spring]' obrigatoria.</t>
        </is>
      </c>
      <c r="E6" s="12" t="inlineStr">
        <is>
          <t>Nenhuma - decisao de nomenclatura interna.</t>
        </is>
      </c>
      <c r="F6" s="12" t="inlineStr">
        <is>
          <t>Mecanica (decisao de arquitetura)</t>
        </is>
      </c>
      <c r="G6" s="12" t="inlineStr">
        <is>
          <t>FROZEN</t>
        </is>
      </c>
      <c r="H6" s="12" t="inlineStr">
        <is>
          <t>Planilha + Guide</t>
        </is>
      </c>
    </row>
    <row r="7" ht="60" customHeight="1">
      <c r="A7" s="12" t="inlineStr">
        <is>
          <t>DR-003</t>
        </is>
      </c>
      <c r="B7" s="12" t="inlineStr">
        <is>
          <t>SUS-103</t>
        </is>
      </c>
      <c r="C7" s="12" t="inlineStr">
        <is>
          <t>Modelo de duas molas de Milliken adotado como formulacao de referencia para transferencia lateral de carga.</t>
        </is>
      </c>
      <c r="D7" s="12" t="inlineStr">
        <is>
          <t>Formulacao padrao da literatura (Milliken, RCVD); verificada algebricamente (conservacao de momento), numericamente (Python+Excel) e cross-referenciada contra Chalmers/Sampo (transcricao identica termo a termo).</t>
        </is>
      </c>
      <c r="E7" s="12" t="inlineStr">
        <is>
          <t>Hipotese de superposicao linear; RC estatico (sem migracao dinamica).</t>
        </is>
      </c>
      <c r="F7" s="12" t="inlineStr">
        <is>
          <t>Mecanica (decisao de arquitetura)</t>
        </is>
      </c>
      <c r="G7" s="12" t="inlineStr">
        <is>
          <t>FROZEN</t>
        </is>
      </c>
      <c r="H7" s="12" t="inlineStr">
        <is>
          <t>Planilha + Guide</t>
        </is>
      </c>
    </row>
    <row r="8" ht="60" customHeight="1">
      <c r="A8" s="12" t="inlineStr">
        <is>
          <t>DR-004</t>
        </is>
      </c>
      <c r="B8" s="12" t="inlineStr">
        <is>
          <t>Todo o dominio de suspensao</t>
        </is>
      </c>
      <c r="C8" s="12" t="inlineStr">
        <is>
          <t>T09/E03 e a referencia historica de suspensao; TX/E05 nao contamina o baseline de dados de suspensao.</t>
        </is>
      </c>
      <c r="D8" s="12" t="inlineStr">
        <is>
          <t>Dados de suspensao do TX se mostraram parcialmente estimados/inconsistentes (ex.: ARB documentado mas nao efetivamente implementado); T09 tem planilha de calculo detalhada verificavel.</t>
        </is>
      </c>
      <c r="E8" s="12" t="inlineStr">
        <is>
          <t>Dados gerais de veiculo (massa, geometria) do TX permanecem utilizaveis quando o Design Case for aberto - a exclusao e so para comportamento/configuracao de suspensao.</t>
        </is>
      </c>
      <c r="F8" s="12" t="inlineStr">
        <is>
          <t>Mecanica (decisao de arquitetura)</t>
        </is>
      </c>
      <c r="G8" s="12" t="inlineStr">
        <is>
          <t>FROZEN</t>
        </is>
      </c>
      <c r="H8" s="12" t="inlineStr">
        <is>
          <t>Planilha + Guide</t>
        </is>
      </c>
    </row>
    <row r="9" ht="60" customHeight="1">
      <c r="A9" s="12" t="inlineStr">
        <is>
          <t>DR-005</t>
        </is>
      </c>
      <c r="B9" s="12" t="inlineStr">
        <is>
          <t>SUS-401 (Roll Center)</t>
        </is>
      </c>
      <c r="C9" s="12" t="inlineStr">
        <is>
          <t>V1 usa RC_static = RC(z_RH); sem migracao dinamica do roll center durante rolagem.</t>
        </is>
      </c>
      <c r="D9" s="12" t="inlineStr">
        <is>
          <t>Modelagem de RC(phi) exigiria acoplamento iterativo Vehicle State &lt;-&gt; KOP, fora do escopo da V1.</t>
        </is>
      </c>
      <c r="E9" s="12" t="inlineStr">
        <is>
          <t>Limitacao conhecida e documentada; OptimumKinematics assume essa responsabilidade na V2.</t>
        </is>
      </c>
      <c r="F9" s="12" t="inlineStr">
        <is>
          <t>Mecanica (decisao de arquitetura)</t>
        </is>
      </c>
      <c r="G9" s="12" t="inlineStr">
        <is>
          <t>FROZEN</t>
        </is>
      </c>
      <c r="H9" s="12" t="inlineStr">
        <is>
          <t>Planilha + Guide</t>
        </is>
      </c>
    </row>
    <row r="10" ht="60" customHeight="1">
      <c r="A10" s="12" t="inlineStr">
        <is>
          <t>DR-006</t>
        </is>
      </c>
      <c r="B10" s="12" t="inlineStr">
        <is>
          <t>SUS-301/SUS-302</t>
        </is>
      </c>
      <c r="C10" s="12" t="inlineStr">
        <is>
          <t>Anti-dive e anti-squat nao alteram a magnitude da transferencia de carga longitudinal global - so descrevem a particao geometrica vs. elastica da reacao.</t>
        </is>
      </c>
      <c r="D10" s="12" t="inlineStr">
        <is>
          <t>Erro classico de interpretacao seria multiplicar o load transfer por (1-%AD); isso e fisicamente incorreto sob equilibrio de corpo rigido.</t>
        </is>
      </c>
      <c r="E10" s="12" t="inlineStr">
        <is>
          <t>Nenhuma equacao de load transfer deve referenciar %AD/%AS como fator multiplicativo.</t>
        </is>
      </c>
      <c r="F10" s="12" t="inlineStr">
        <is>
          <t>Mecanica (decisao de arquitetura)</t>
        </is>
      </c>
      <c r="G10" s="12" t="inlineStr">
        <is>
          <t>FROZEN</t>
        </is>
      </c>
      <c r="H10" s="12" t="inlineStr">
        <is>
          <t>Planilha + Guide</t>
        </is>
      </c>
    </row>
    <row r="11" ht="60" customHeight="1">
      <c r="A11" s="12" t="inlineStr">
        <is>
          <t>DR-007</t>
        </is>
      </c>
      <c r="B11" s="12" t="inlineStr">
        <is>
          <t>SUS-701/SUS-702</t>
        </is>
      </c>
      <c r="C11" s="12" t="inlineStr">
        <is>
          <t>Aero da V1 limitado a downforce total + aero balance dianteiro, ambos constantes por Setup (sem F_aero(v), sem CFD).</t>
        </is>
      </c>
      <c r="D11" s="12" t="inlineStr">
        <is>
          <t>Evita 'fisica implicita' no Excel sem Engineering Standard formal para aero dependente de velocidade.</t>
        </is>
      </c>
      <c r="E11" s="12" t="inlineStr">
        <is>
          <t>Se aero dependente de velocidade for necessario no futuro, exige nova ficha SUS-7XX formal antes de implementar.</t>
        </is>
      </c>
      <c r="F11" s="12" t="inlineStr">
        <is>
          <t>Mecanica (decisao de arquitetura)</t>
        </is>
      </c>
      <c r="G11" s="12" t="inlineStr">
        <is>
          <t>FROZEN</t>
        </is>
      </c>
      <c r="H11" s="12" t="inlineStr">
        <is>
          <t>Planilha + Guide</t>
        </is>
      </c>
    </row>
    <row r="12" ht="60" customHeight="1">
      <c r="A12" s="12" t="inlineStr">
        <is>
          <t>DR-008</t>
        </is>
      </c>
      <c r="B12" s="12" t="inlineStr">
        <is>
          <t>Arquitetura Excel/Python</t>
        </is>
      </c>
      <c r="C12" s="12" t="inlineStr">
        <is>
          <t>Nenhuma bridge automatica Python&lt;-&gt;Excel na V1; Excel possui implementacao propria das formulas, Python e motor independente, ambos comparados manualmente.</t>
        </is>
      </c>
      <c r="D12" s="12" t="inlineStr">
        <is>
          <t>Bridge JSON/CSV e um projeto proprio; construir isso antes de validar o modelo fisico inverteria a prioridade.</t>
        </is>
      </c>
      <c r="E12" s="12" t="inlineStr">
        <is>
          <t>Quando a bridge existir, as formulas do Excel permanecem como cross-check independente, nao sao descartadas.</t>
        </is>
      </c>
      <c r="F12" s="12" t="inlineStr">
        <is>
          <t>Mecanica (decisao de arquitetura)</t>
        </is>
      </c>
      <c r="G12" s="12" t="inlineStr">
        <is>
          <t>n/d</t>
        </is>
      </c>
      <c r="H12" s="12" t="inlineStr">
        <is>
          <t>Planilha</t>
        </is>
      </c>
    </row>
    <row r="13" ht="120" customHeight="1">
      <c r="A13" s="12" t="inlineStr">
        <is>
          <t>DR-009</t>
        </is>
      </c>
      <c r="B13" s="12" t="inlineStr">
        <is>
          <t>SUS-402 e SUS-406 (início da V2)</t>
        </is>
      </c>
      <c r="C13" s="12" t="inlineStr">
        <is>
          <t>SUS-402 (Roll Center via IC em vista frontal) e SUS-406 (Instant Center em vista lateral, para Anti-Dive/Anti-Squat) formalizados e implementados apenas em Python (kinematics_model_V2_0.py), nao em formula nativa do Excel.</t>
        </is>
      </c>
      <c r="D13" s="12" t="inlineStr">
        <is>
          <t>A dupla interseccao de retas 2D produziria uma formula de planilha longa e ilegivel; verificado com casos de teste sinteticos (11/11 PASS no total, incluindo simetria de espelhamento e casos degenerados de retas paralelas) antes de qualquer hardpoint real existir. SUS-406 usa ponto medio das buchas como proxy do eixo de pivo em vista lateral (diferente do SUS-402, que usa o mesmo ponto para vista frontal) - aproximacao de primeira ordem documentada na ficha. Guide (DR-009): solver cinematico interno fora da V1, motivo "evitar duplicacao".</t>
        </is>
      </c>
      <c r="E13" s="12" t="inlineStr">
        <is>
          <t>Nunca autoritativo (Data Type MODEL, proposito cross-check) - OptimumKinematics continua sendo REFERENCE oficial (SUS-401/SUS-406) quando integrado. Ainda nao conectado ao Excel - aguarda o hardpoint schema (proximo passo da V2).</t>
        </is>
      </c>
      <c r="F13" s="12" t="inlineStr">
        <is>
          <t>Mecanica (decisao de arquitetura)</t>
        </is>
      </c>
      <c r="G13" s="12" t="inlineStr">
        <is>
          <t>FROZEN</t>
        </is>
      </c>
      <c r="H13" s="12" t="inlineStr">
        <is>
          <t>Planilha + Guide (Guide: DR-009)</t>
        </is>
      </c>
    </row>
    <row r="14" ht="90" customHeight="1">
      <c r="A14" s="12" t="inlineStr">
        <is>
          <t>DR-010</t>
        </is>
      </c>
      <c r="B14" s="12" t="inlineStr">
        <is>
          <t>SUS-202 / SUS-205 (Design Mode)</t>
        </is>
      </c>
      <c r="C14" s="12" t="inlineStr">
        <is>
          <t>Design Mode explicito: o calculo reverso deve indicar qual variavel e o alvo e qual e resolvida; sem goal seek opaco.</t>
        </is>
      </c>
      <c r="D14" s="12" t="inlineStr">
        <is>
          <t>Evitar goal seek opaco e o uso da mesma equacao no sentido errado (Guide, Apendice B.3).</t>
        </is>
      </c>
      <c r="E14" s="12" t="inlineStr">
        <is>
          <t>Design Mode nao cria fichas proprias: e a equacao reversa dentro de SUS-202/205 (Engineering Standard, Bloco J). Equacao reversa de roll stiffness (SUS-206/207) ainda nao escrita no Standard. Valores de 2,5/2,7 Hz e lambda_f 0,55 em 11_DESIGN sao demonstrativos, nao TARGET (Guide, cap. 4.11 e Apendice F.2).</t>
        </is>
      </c>
      <c r="F14" s="12" t="inlineStr">
        <is>
          <t>Mecanica (decisao de arquitetura)</t>
        </is>
      </c>
      <c r="G14" s="12" t="inlineStr">
        <is>
          <t>FROZEN</t>
        </is>
      </c>
      <c r="H14" s="12" t="inlineStr">
        <is>
          <t>Guide</t>
        </is>
      </c>
    </row>
    <row r="15" ht="90" customHeight="1">
      <c r="A15" s="12" t="inlineStr">
        <is>
          <t>DR-011</t>
        </is>
      </c>
      <c r="B15" s="12" t="inlineStr">
        <is>
          <t>SUS-501 / SUS-502 / SUS-503 (Tire)</t>
        </is>
      </c>
      <c r="C15" s="12" t="inlineStr">
        <is>
          <t>Pneu consumido como REFERENCE (OptimumTire/TTC), sem ajuste (fit) proprio na V1.</t>
        </is>
      </c>
      <c r="D15" s="12" t="inlineStr">
        <is>
          <t>Sem fit proprio na V1 (Guide, Apendice E). Numeracao: no Guide esta decisao aparece como DR-008.</t>
        </is>
      </c>
      <c r="E15" s="12" t="inlineStr">
        <is>
          <t>Nivel 1 (lookup) ou nivel 2 (parametrico) conforme DEC-007 (Engineering Standard). Verificar a convencao de sinal de alpha e de slip ratio exportada contra ISO 8855 antes de consumir. 10_TIRE implementado na V2.2 com dataset provisorio (ver DR-013).</t>
        </is>
      </c>
      <c r="F15" s="12" t="inlineStr">
        <is>
          <t>Mecanica (decisao de arquitetura)</t>
        </is>
      </c>
      <c r="G15" s="12" t="inlineStr">
        <is>
          <t>FROZEN</t>
        </is>
      </c>
      <c r="H15" s="12" t="inlineStr">
        <is>
          <t>Guide</t>
        </is>
      </c>
    </row>
    <row r="16" ht="130" customHeight="1">
      <c r="A16" s="12" t="inlineStr">
        <is>
          <t>DR-012</t>
        </is>
      </c>
      <c r="B16" s="12" t="inlineStr">
        <is>
          <t>SUS-407..413 (Kinematics Model); SUS-406/301/302 (propostas); schema de hardpoints</t>
        </is>
      </c>
      <c r="C16" s="12" t="inlineStr">
        <is>
          <t>Solver cinematico 3D de double wishbone implementado em Python (kinematics_model_V2_0.py) como MODEL/cross-check, a partir de hardpoints.csv (schema V2.0). Nunca substitui o OptimumKinematics (REFERENCE).</t>
        </is>
      </c>
      <c r="D16" s="12" t="inlineStr">
        <is>
          <t>Pedido do usuario: Kinematics o mais completa possivel na V2; DR-009 ja previa o solver interno para a V2. Formulacao verificada por solver independente, casos analiticos e teste de mutacao (47 testes de kinematics, 21 de hardpoints).</t>
        </is>
      </c>
      <c r="E16" s="12" t="inlineStr">
        <is>
          <t>PROPOSTAS aguardando aprovacao, NAO aplicadas ao 06_SUSPENSION: (1) IC lateral cinematico no lugar do metodo outer-&gt;ponto medio (SUS-406 V1); (2) %AD/%AS com sinal fisico no lugar de |d|; (3) IDs SUS-407..413 e schema de hardpoints. Sem hardpoints reais, TC-011 segue NOT_VALIDATED. Limite de aviso de MR (0,2) e vocabulario de Status/Component sao hipoteses.</t>
        </is>
      </c>
      <c r="F16" s="12" t="inlineStr">
        <is>
          <t>Mecanica (decisao de arquitetura)</t>
        </is>
      </c>
      <c r="G16" s="12" t="inlineStr">
        <is>
          <t>DRAFT</t>
        </is>
      </c>
      <c r="H16" s="12" t="inlineStr">
        <is>
          <t>V2.0 (proposta)</t>
        </is>
      </c>
    </row>
    <row r="17">
      <c r="A17" s="12" t="inlineStr">
        <is>
          <t>DR-013</t>
        </is>
      </c>
      <c r="B17" s="12" t="inlineStr">
        <is>
          <t>SUS-501 / SUS-502 / SUS-503 (Tire) — implementação em 10_TIRE</t>
        </is>
      </c>
      <c r="C17" s="12" t="inlineStr">
        <is>
          <t>Pneu avaliado em 10_TIRE por nivel 2 (parametrico): equacoes PAC2002/MF 5.2 aplicadas aos coeficientes de um .tir, sem fit proprio. Dataset atual = .tir TTC PROVISORIO (Hoosier R25B), so para desenvolvimento. Fora da faixa do dataset o resultado e N/A (sem extrapolar).</t>
        </is>
      </c>
      <c r="D17" s="12" t="inlineStr">
        <is>
          <t>Pedido do usuario (2026-10-12) com .tir TTC fornecido; DR-011 (sem fit proprio). Guia: o workbook nao apresenta mu proprio como medido.</t>
        </is>
      </c>
      <c r="E17" s="12" t="inlineStr">
        <is>
          <t>Sistema de eixos do arquivo = SAE (Calspan/TTC), DECLARADO pelo usuario (dados baixados do TTC), transformado para ISO (alpha_arq=-alpha, Fy_ISO=-Fy_arq; camber: empuxo para o lado da inclinacao, INFERIDO: IA do TTC nao verificado). Espelhamento das rodas esquerdas (arquivo e Right) e hipotese de projeto. Equacoes: verificadas (V2.3) contra duas implementacoes de terceiros (Racer CalcMF52 e ramo MF5.2 do MFeval; 3000 pontos, dif &lt;= 3e-4 N) e por limites analiticos (tire_model_V2_2.py); NAO validadas contra o livro (Pacejka) nem contra medicao/OptimumTire: Validation = NOT_VALIDATED. Mx/My/Mz, pressao e relaxamento fora de escopo.</t>
        </is>
      </c>
      <c r="F17" s="12" t="inlineStr">
        <is>
          <t>Mecanica (decisao de implementacao)</t>
        </is>
      </c>
      <c r="G17" s="12" t="inlineStr">
        <is>
          <t>DRAFT</t>
        </is>
      </c>
      <c r="H17" s="12" t="inlineStr">
        <is>
          <t>V2.2 (proposta); texto revisado na V2.3 e V2.4</t>
        </is>
      </c>
    </row>
    <row r="18">
      <c r="A18" s="18" t="inlineStr">
        <is>
          <t>Status = Estado do Guide (Apendice E.1). DR-008 nao tem estado registrado em nenhum documento (n/d). Origem "Guide" = decisao que so existia no Guide.</t>
        </is>
      </c>
    </row>
    <row r="19">
      <c r="A19" s="18" t="inlineStr">
        <is>
          <t>Fonte oficial consolidada de decisões: Engineering_Decision_Register.md (EDR-xxx). Esta aba é espelho resumido (DR-xxx); em caso de divergência, vale o EDR.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05_VEHICLE</t>
        </is>
      </c>
    </row>
    <row r="3">
      <c r="A3" s="3" t="inlineStr">
        <is>
          <t>Massa e Geometria</t>
        </is>
      </c>
    </row>
    <row r="4">
      <c r="A4" s="4" t="inlineStr">
        <is>
          <t>Massa total (com piloto)</t>
        </is>
      </c>
      <c r="B4" s="16" t="n">
        <v>316.5</v>
      </c>
      <c r="C4" s="10" t="inlineStr">
        <is>
          <t>kg</t>
        </is>
      </c>
      <c r="D4" s="10" t="inlineStr">
        <is>
          <t>SUS-001</t>
        </is>
      </c>
    </row>
    <row r="5">
      <c r="A5" s="4" t="inlineStr">
        <is>
          <t>Altura do CG (total)</t>
        </is>
      </c>
      <c r="B5" s="16" t="n">
        <v>0.315</v>
      </c>
      <c r="C5" s="10" t="inlineStr">
        <is>
          <t>m</t>
        </is>
      </c>
      <c r="D5" s="10" t="inlineStr">
        <is>
          <t>SUS-002</t>
        </is>
      </c>
    </row>
    <row r="6">
      <c r="A6" s="4" t="inlineStr">
        <is>
          <t>Wheelbase (L)</t>
        </is>
      </c>
      <c r="B6" s="17" t="n">
        <v>1.594</v>
      </c>
      <c r="C6" s="10" t="inlineStr">
        <is>
          <t>m</t>
        </is>
      </c>
      <c r="D6" s="10" t="inlineStr">
        <is>
          <t>SUS-003</t>
        </is>
      </c>
    </row>
    <row r="7">
      <c r="A7" s="4" t="inlineStr">
        <is>
          <t>Front Track (t_F)</t>
        </is>
      </c>
      <c r="B7" s="17" t="n">
        <v>1.277</v>
      </c>
      <c r="C7" s="10" t="inlineStr">
        <is>
          <t>m</t>
        </is>
      </c>
      <c r="D7" s="10" t="inlineStr">
        <is>
          <t>SUS-004</t>
        </is>
      </c>
    </row>
    <row r="8">
      <c r="A8" s="4" t="inlineStr">
        <is>
          <t>Rear Track (t_R)</t>
        </is>
      </c>
      <c r="B8" s="17" t="n">
        <v>1.271</v>
      </c>
      <c r="C8" s="10" t="inlineStr">
        <is>
          <t>m</t>
        </is>
      </c>
      <c r="D8" s="10" t="inlineStr">
        <is>
          <t>SUS-005</t>
        </is>
      </c>
    </row>
    <row r="9">
      <c r="A9" s="4" t="inlineStr">
        <is>
          <t>CG -&gt; eixo dianteiro (a)</t>
        </is>
      </c>
      <c r="B9" s="16" t="n">
        <v>0.82203</v>
      </c>
      <c r="C9" s="10" t="inlineStr">
        <is>
          <t>m</t>
        </is>
      </c>
      <c r="D9" s="10" t="inlineStr">
        <is>
          <t>SUS-006</t>
        </is>
      </c>
    </row>
    <row r="10">
      <c r="A10" s="4" t="inlineStr">
        <is>
          <t>CG -&gt; eixo traseiro (b)</t>
        </is>
      </c>
      <c r="B10" s="16" t="n">
        <v>0.77197</v>
      </c>
      <c r="C10" s="10" t="inlineStr">
        <is>
          <t>m</t>
        </is>
      </c>
      <c r="D10" s="10" t="inlineStr">
        <is>
          <t>SUS-006</t>
        </is>
      </c>
    </row>
    <row r="11">
      <c r="A11" s="18" t="inlineStr">
        <is>
          <t>Checagem: a + b = L (deve ser 0)</t>
        </is>
      </c>
      <c r="B11" s="19">
        <f>'05_VEHICLE'!$B$9+'05_VEHICLE'!$B$10-'05_VEHICLE'!$B$6</f>
        <v/>
      </c>
    </row>
    <row r="13">
      <c r="A13" s="3" t="inlineStr">
        <is>
          <t>Massas não-suspensas</t>
        </is>
      </c>
    </row>
    <row r="14">
      <c r="A14" s="4" t="inlineStr">
        <is>
          <t>Massa não-suspensa dianteira</t>
        </is>
      </c>
      <c r="B14" s="16" t="n">
        <v>15</v>
      </c>
      <c r="C14" s="10" t="inlineStr">
        <is>
          <t>kg</t>
        </is>
      </c>
      <c r="D14" s="10" t="inlineStr">
        <is>
          <t>SUS-007</t>
        </is>
      </c>
    </row>
    <row r="15">
      <c r="A15" s="4" t="inlineStr">
        <is>
          <t>Massa não-suspensa traseira</t>
        </is>
      </c>
      <c r="B15" s="16" t="n">
        <v>18</v>
      </c>
      <c r="C15" s="10" t="inlineStr">
        <is>
          <t>kg</t>
        </is>
      </c>
      <c r="D15" s="10" t="inlineStr">
        <is>
          <t>SUS-008</t>
        </is>
      </c>
    </row>
    <row r="16">
      <c r="A16" s="4" t="inlineStr">
        <is>
          <t>Altura CG não-suspenso dianteiro</t>
        </is>
      </c>
      <c r="B16" s="16" t="n">
        <v>0.254</v>
      </c>
      <c r="C16" s="10" t="inlineStr">
        <is>
          <t>m</t>
        </is>
      </c>
      <c r="D16" s="10" t="inlineStr">
        <is>
          <t>SUS-010</t>
        </is>
      </c>
    </row>
    <row r="17">
      <c r="A17" s="4" t="inlineStr">
        <is>
          <t>Altura CG não-suspenso traseiro</t>
        </is>
      </c>
      <c r="B17" s="16" t="n">
        <v>0.254</v>
      </c>
      <c r="C17" s="10" t="inlineStr">
        <is>
          <t>m</t>
        </is>
      </c>
      <c r="D17" s="10" t="inlineStr">
        <is>
          <t>SUS-011</t>
        </is>
      </c>
    </row>
    <row r="19">
      <c r="A19" s="3" t="inlineStr">
        <is>
          <t>Referência de solo</t>
        </is>
      </c>
    </row>
    <row r="20">
      <c r="A20" s="4" t="inlineStr">
        <is>
          <t>Ground Plane Z (offset origem CAD -&gt; solo)</t>
        </is>
      </c>
      <c r="B20" s="20" t="n">
        <v>-0.05</v>
      </c>
      <c r="C20" s="10" t="inlineStr">
        <is>
          <t>m</t>
        </is>
      </c>
      <c r="D20" s="10" t="inlineStr">
        <is>
          <t>SUS-000</t>
        </is>
      </c>
    </row>
    <row r="22">
      <c r="A22" s="3" t="inlineStr">
        <is>
          <t>Calculado (SUS-009 / SUS-012)</t>
        </is>
      </c>
    </row>
    <row r="23">
      <c r="A23" s="4" t="inlineStr">
        <is>
          <t>Massa suspensa total</t>
        </is>
      </c>
      <c r="B23" s="21">
        <f>'05_VEHICLE'!$B$4-'05_VEHICLE'!$B$14-'05_VEHICLE'!$B$15</f>
        <v/>
      </c>
      <c r="C23" s="10" t="inlineStr">
        <is>
          <t>kg</t>
        </is>
      </c>
      <c r="D23" s="10" t="inlineStr">
        <is>
          <t>SUS-009</t>
        </is>
      </c>
    </row>
    <row r="24">
      <c r="A24" s="4" t="inlineStr">
        <is>
          <t>Altura do CG suspenso (h_s)</t>
        </is>
      </c>
      <c r="B24" s="21">
        <f>('05_VEHICLE'!$B$4*'05_VEHICLE'!$B$5-'05_VEHICLE'!$B$14*'05_VEHICLE'!$B$16-'05_VEHICLE'!$B$15*'05_VEHICLE'!$B$17)/'05_VEHICLE'!$B$23</f>
        <v/>
      </c>
      <c r="C24" s="10" t="inlineStr">
        <is>
          <t>m</t>
        </is>
      </c>
      <c r="D24" s="10" t="inlineStr">
        <is>
          <t>SUS-012</t>
        </is>
      </c>
    </row>
    <row r="25">
      <c r="A25" s="4" t="inlineStr">
        <is>
          <t>Massa suspensa - eixo dianteiro (m·b/L − m_uF)</t>
        </is>
      </c>
      <c r="B25" s="21">
        <f>'05_VEHICLE'!$B$4*'05_VEHICLE'!$B$10/'05_VEHICLE'!$B$6-'05_VEHICLE'!$B$14</f>
        <v/>
      </c>
      <c r="C25" s="10" t="inlineStr">
        <is>
          <t>kg</t>
        </is>
      </c>
      <c r="D25" s="10" t="inlineStr">
        <is>
          <t>SUS-009</t>
        </is>
      </c>
    </row>
    <row r="26">
      <c r="A26" s="4" t="inlineStr">
        <is>
          <t>Massa suspensa - eixo traseiro (m·a/L − m_uR)</t>
        </is>
      </c>
      <c r="B26" s="21">
        <f>'05_VEHICLE'!$B$4*'05_VEHICLE'!$B$9/'05_VEHICLE'!$B$6-'05_VEHICLE'!$B$15</f>
        <v/>
      </c>
      <c r="C26" s="10" t="inlineStr">
        <is>
          <t>kg</t>
        </is>
      </c>
      <c r="D26" s="10" t="inlineStr">
        <is>
          <t>SUS-009</t>
        </is>
      </c>
    </row>
    <row r="27">
      <c r="A27" s="4" t="inlineStr">
        <is>
          <t>CG suspenso -&gt; eixo dianteiro (a_s = L·m_s,R/m_s)</t>
        </is>
      </c>
      <c r="B27" s="21">
        <f>'05_VEHICLE'!$B$6*'05_VEHICLE'!$B$26/'05_VEHICLE'!$B$23</f>
        <v/>
      </c>
      <c r="C27" s="10" t="inlineStr">
        <is>
          <t>m</t>
        </is>
      </c>
      <c r="D27" s="10" t="inlineStr">
        <is>
          <t>SUS-009</t>
        </is>
      </c>
    </row>
  </sheetData>
  <mergeCells count="5">
    <mergeCell ref="A19:E19"/>
    <mergeCell ref="A1:E1"/>
    <mergeCell ref="A13:E13"/>
    <mergeCell ref="A22:E22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06_SUSPENSION</t>
        </is>
      </c>
    </row>
    <row r="2">
      <c r="A2" s="10" t="inlineStr">
        <is>
          <t>Mola, MR, barra e roll center (B4:B15): valores DEMONSTRATIVOS herdados do T09/E03, para referência e teste das fórmulas; não são o TX/E05 (EDR-012/022).</t>
        </is>
      </c>
    </row>
    <row r="3">
      <c r="A3" s="3" t="inlineStr">
        <is>
          <t>Mola / Motion Ratio</t>
        </is>
      </c>
    </row>
    <row r="4">
      <c r="A4" s="4" t="inlineStr">
        <is>
          <t>Spring Rate dianteiro</t>
        </is>
      </c>
      <c r="B4" s="16" t="n">
        <v>49909.24</v>
      </c>
      <c r="C4" s="10" t="inlineStr">
        <is>
          <t>N/m</t>
        </is>
      </c>
      <c r="D4" s="10" t="inlineStr">
        <is>
          <t>SUS-203</t>
        </is>
      </c>
    </row>
    <row r="5">
      <c r="A5" s="4" t="inlineStr">
        <is>
          <t>Spring Rate traseiro</t>
        </is>
      </c>
      <c r="B5" s="16" t="n">
        <v>57052.22</v>
      </c>
      <c r="C5" s="10" t="inlineStr">
        <is>
          <t>N/m</t>
        </is>
      </c>
      <c r="D5" s="10" t="inlineStr">
        <is>
          <t>SUS-203</t>
        </is>
      </c>
    </row>
    <row r="6">
      <c r="A6" s="4" t="inlineStr">
        <is>
          <t>Motion Ratio dianteiro [wheel/spring]</t>
        </is>
      </c>
      <c r="B6" s="17" t="n">
        <v>1.76</v>
      </c>
      <c r="C6" s="10" t="inlineStr">
        <is>
          <t>-</t>
        </is>
      </c>
      <c r="D6" s="10" t="inlineStr">
        <is>
          <t>SUS-201</t>
        </is>
      </c>
    </row>
    <row r="7">
      <c r="A7" s="4" t="inlineStr">
        <is>
          <t>Motion Ratio traseiro [wheel/spring]</t>
        </is>
      </c>
      <c r="B7" s="17" t="n">
        <v>1.76</v>
      </c>
      <c r="C7" s="10" t="inlineStr">
        <is>
          <t>-</t>
        </is>
      </c>
      <c r="D7" s="10" t="inlineStr">
        <is>
          <t>SUS-201</t>
        </is>
      </c>
    </row>
    <row r="9">
      <c r="A9" s="3" t="inlineStr">
        <is>
          <t>Anti-Roll Bar (simplificação V1 — sem cinemática interna)</t>
        </is>
      </c>
    </row>
    <row r="10">
      <c r="A10" s="4" t="inlineStr">
        <is>
          <t>K_ARB dianteiro</t>
        </is>
      </c>
      <c r="B10" s="16" t="n">
        <v>5012.32</v>
      </c>
      <c r="C10" s="10" t="inlineStr">
        <is>
          <t>N*m/rad</t>
        </is>
      </c>
      <c r="D10" s="10" t="inlineStr">
        <is>
          <t>SUS-206</t>
        </is>
      </c>
    </row>
    <row r="11">
      <c r="A11" s="4" t="inlineStr">
        <is>
          <t>K_ARB traseiro</t>
        </is>
      </c>
      <c r="B11" s="16" t="n">
        <v>10.78</v>
      </c>
      <c r="C11" s="10" t="inlineStr">
        <is>
          <t>N*m/rad</t>
        </is>
      </c>
      <c r="D11" s="10" t="inlineStr">
        <is>
          <t>SUS-207</t>
        </is>
      </c>
    </row>
    <row r="13">
      <c r="A13" s="3" t="inlineStr">
        <is>
          <t>Roll Center — PROVISÓRIO (Fase 2 substitui por REFERENCE do OptimumKinematics)</t>
        </is>
      </c>
    </row>
    <row r="14">
      <c r="A14" s="4" t="inlineStr">
        <is>
          <t>Roll Center dianteiro (RH estático)</t>
        </is>
      </c>
      <c r="B14" s="22" t="n">
        <v>0.0675</v>
      </c>
      <c r="C14" s="10" t="inlineStr">
        <is>
          <t>m</t>
        </is>
      </c>
      <c r="D14" s="10" t="inlineStr">
        <is>
          <t>SUS-401-F</t>
        </is>
      </c>
    </row>
    <row r="15">
      <c r="A15" s="4" t="inlineStr">
        <is>
          <t>Roll Center traseiro (RH estático)</t>
        </is>
      </c>
      <c r="B15" s="22" t="n">
        <v>0.11</v>
      </c>
      <c r="C15" s="10" t="inlineStr">
        <is>
          <t>m</t>
        </is>
      </c>
      <c r="D15" s="10" t="inlineStr">
        <is>
          <t>SUS-401-R</t>
        </is>
      </c>
    </row>
    <row r="17">
      <c r="A17" s="3" t="inlineStr">
        <is>
          <t>Calculado — Wheel Rate / Roll Stiffness (SUS-202/206/207/208)</t>
        </is>
      </c>
    </row>
    <row r="18">
      <c r="A18" s="4" t="inlineStr">
        <is>
          <t>Wheel Rate dianteiro</t>
        </is>
      </c>
      <c r="B18" s="21">
        <f>'06_SUSPENSION'!$B$4/'06_SUSPENSION'!$B$6^2</f>
        <v/>
      </c>
      <c r="C18" s="10" t="inlineStr">
        <is>
          <t>N/m</t>
        </is>
      </c>
      <c r="D18" s="10" t="inlineStr">
        <is>
          <t>SUS-202</t>
        </is>
      </c>
    </row>
    <row r="19">
      <c r="A19" s="4" t="inlineStr">
        <is>
          <t>Wheel Rate traseiro</t>
        </is>
      </c>
      <c r="B19" s="21">
        <f>'06_SUSPENSION'!$B$5/'06_SUSPENSION'!$B$7^2</f>
        <v/>
      </c>
      <c r="C19" s="10" t="inlineStr">
        <is>
          <t>N/m</t>
        </is>
      </c>
      <c r="D19" s="10" t="inlineStr">
        <is>
          <t>SUS-202</t>
        </is>
      </c>
    </row>
    <row r="20">
      <c r="A20" s="4" t="inlineStr">
        <is>
          <t>Roll Stiffness sem ARB e sem pneu (K_W·t_F²/2) - dianteira</t>
        </is>
      </c>
      <c r="B20" s="21">
        <f>'06_SUSPENSION'!$B$18*'05_VEHICLE'!$B$7^2/2</f>
        <v/>
      </c>
      <c r="C20" s="10" t="inlineStr">
        <is>
          <t>N*m/rad</t>
        </is>
      </c>
      <c r="D20" s="10" t="inlineStr">
        <is>
          <t>SUS-206</t>
        </is>
      </c>
    </row>
    <row r="21">
      <c r="A21" s="4" t="inlineStr">
        <is>
          <t>Roll Stiffness sem ARB e sem pneu (K_W·t_R²/2) - traseira</t>
        </is>
      </c>
      <c r="B21" s="21">
        <f>'06_SUSPENSION'!$B$19*'05_VEHICLE'!$B$8^2/2</f>
        <v/>
      </c>
      <c r="C21" s="10" t="inlineStr">
        <is>
          <t>N*m/rad</t>
        </is>
      </c>
      <c r="D21" s="10" t="inlineStr">
        <is>
          <t>SUS-207</t>
        </is>
      </c>
    </row>
    <row r="22">
      <c r="A22" s="4" t="inlineStr">
        <is>
          <t>Roll Stiffness dianteira K_phiF = (K_W·t²/2 + K_ARB) em série com K_T·t²/2</t>
        </is>
      </c>
      <c r="B22" s="21">
        <f>1/(1/('06_SUSPENSION'!$B$20+'06_SUSPENSION'!$B$10)+1/'06_SUSPENSION'!$B$51)</f>
        <v/>
      </c>
      <c r="C22" s="10" t="inlineStr">
        <is>
          <t>N*m/rad</t>
        </is>
      </c>
      <c r="D22" s="10" t="inlineStr">
        <is>
          <t>SUS-206</t>
        </is>
      </c>
    </row>
    <row r="23">
      <c r="A23" s="4" t="inlineStr">
        <is>
          <t>Roll Stiffness traseira K_phiR = (K_W·t²/2 + K_ARB) em série com K_T·t²/2</t>
        </is>
      </c>
      <c r="B23" s="21">
        <f>1/(1/('06_SUSPENSION'!$B$21+'06_SUSPENSION'!$B$11)+1/'06_SUSPENSION'!$B$52)</f>
        <v/>
      </c>
      <c r="C23" s="10" t="inlineStr">
        <is>
          <t>N*m/rad</t>
        </is>
      </c>
      <c r="D23" s="10" t="inlineStr">
        <is>
          <t>SUS-207</t>
        </is>
      </c>
    </row>
    <row r="24">
      <c r="A24" s="4" t="inlineStr">
        <is>
          <t>Distribuição de rigidez - dianteira (lambda_f)</t>
        </is>
      </c>
      <c r="B24" s="21">
        <f>'06_SUSPENSION'!$B$22/('06_SUSPENSION'!$B$22+'06_SUSPENSION'!$B$23)</f>
        <v/>
      </c>
      <c r="C24" s="10" t="inlineStr">
        <is>
          <t>-</t>
        </is>
      </c>
      <c r="D24" s="10" t="inlineStr">
        <is>
          <t>SUS-208</t>
        </is>
      </c>
    </row>
    <row r="25">
      <c r="A25" s="4" t="inlineStr">
        <is>
          <t>Distribuição de rigidez - traseira (lambda_r)</t>
        </is>
      </c>
      <c r="B25" s="21">
        <f>'06_SUSPENSION'!$B$23/('06_SUSPENSION'!$B$22+'06_SUSPENSION'!$B$23)</f>
        <v/>
      </c>
      <c r="C25" s="10" t="inlineStr">
        <is>
          <t>-</t>
        </is>
      </c>
      <c r="D25" s="10" t="inlineStr">
        <is>
          <t>SUS-208</t>
        </is>
      </c>
    </row>
    <row r="27">
      <c r="A27" s="3" t="inlineStr">
        <is>
          <t>Massa suspensa por canto (SUS-009, por eixo: (m·b/L − m_uF)/2 e (m·a/L − m_uR)/2)</t>
        </is>
      </c>
    </row>
    <row r="28">
      <c r="A28" s="4" t="inlineStr">
        <is>
          <t>Massa suspensa por canto - dianteira</t>
        </is>
      </c>
      <c r="B28" s="21">
        <f>'05_VEHICLE'!$B$25/2</f>
        <v/>
      </c>
      <c r="C28" s="10" t="inlineStr">
        <is>
          <t>kg</t>
        </is>
      </c>
      <c r="D28" s="10" t="inlineStr">
        <is>
          <t>SUS-009</t>
        </is>
      </c>
    </row>
    <row r="29">
      <c r="A29" s="4" t="inlineStr">
        <is>
          <t>Massa suspensa por canto - traseira</t>
        </is>
      </c>
      <c r="B29" s="21">
        <f>'05_VEHICLE'!$B$26/2</f>
        <v/>
      </c>
      <c r="C29" s="10" t="inlineStr">
        <is>
          <t>kg</t>
        </is>
      </c>
      <c r="D29" s="10" t="inlineStr">
        <is>
          <t>SUS-009</t>
        </is>
      </c>
    </row>
    <row r="31">
      <c r="A31" s="3" t="inlineStr">
        <is>
          <t>Frequência Natural (SUS-205) — com a ride rate (pneu em série)</t>
        </is>
      </c>
    </row>
    <row r="32">
      <c r="A32" s="4" t="inlineStr">
        <is>
          <t>Frequência Natural dianteira</t>
        </is>
      </c>
      <c r="B32" s="21">
        <f>(1/(2*PI()))*SQRT('06_SUSPENSION'!$B$49/'06_SUSPENSION'!$B$28)</f>
        <v/>
      </c>
      <c r="C32" s="10" t="inlineStr">
        <is>
          <t>Hz</t>
        </is>
      </c>
      <c r="D32" s="10" t="inlineStr">
        <is>
          <t>SUS-205</t>
        </is>
      </c>
    </row>
    <row r="33">
      <c r="A33" s="4" t="inlineStr">
        <is>
          <t>Frequência Natural traseira</t>
        </is>
      </c>
      <c r="B33" s="21">
        <f>(1/(2*PI()))*SQRT('06_SUSPENSION'!$B$50/'06_SUSPENSION'!$B$29)</f>
        <v/>
      </c>
      <c r="C33" s="10" t="inlineStr">
        <is>
          <t>Hz</t>
        </is>
      </c>
      <c r="D33" s="10" t="inlineStr">
        <is>
          <t>SUS-205</t>
        </is>
      </c>
    </row>
    <row r="34">
      <c r="A34" s="3" t="inlineStr">
        <is>
          <t>Anti-Dive / Anti-Squat (SUS-301/302) — com sinal (EDR-026/048)</t>
        </is>
      </c>
    </row>
    <row r="35">
      <c r="A35" s="10" t="inlineStr">
        <is>
          <t>Milliken p. 618-619: freio no cubo (outboard) -&gt; linha pelo contact patch; motor no chassi com semieixos -&gt; linha pelo centro da roda (Fig. 17.15b). + = anti, − = pro (p. 620). IC de 07_KINEMATICS ainda é PLACEHOLDER.</t>
        </is>
      </c>
    </row>
    <row r="36">
      <c r="A36" s="4" t="inlineStr">
        <is>
          <t>Front Brake Force Fraction (FB_f)</t>
        </is>
      </c>
      <c r="B36" s="20" t="n">
        <v>0.6</v>
      </c>
      <c r="C36" s="10" t="inlineStr">
        <is>
          <t>-</t>
        </is>
      </c>
      <c r="D36" s="10" t="inlineStr">
        <is>
          <t>SUS-013</t>
        </is>
      </c>
    </row>
    <row r="37">
      <c r="A37" s="4" t="inlineStr">
        <is>
          <t>Rear Traction Force Fraction (TF_r)</t>
        </is>
      </c>
      <c r="B37" s="16" t="n">
        <v>1</v>
      </c>
      <c r="C37" s="10" t="inlineStr">
        <is>
          <t>-</t>
        </is>
      </c>
      <c r="D37" s="10" t="inlineStr">
        <is>
          <t>SUS-014</t>
        </is>
      </c>
    </row>
    <row r="38">
      <c r="A38" s="4" t="inlineStr">
        <is>
          <t>Inclinação dz/dx da linha contact patch -&gt; IC lateral dianteiro (com sinal; freio no cubo)</t>
        </is>
      </c>
      <c r="B38" s="21">
        <f>'07_KINEMATICS'!$B$10/'07_KINEMATICS'!$B$11</f>
        <v/>
      </c>
      <c r="C38" s="10" t="inlineStr">
        <is>
          <t>-</t>
        </is>
      </c>
      <c r="D38" s="10" t="inlineStr">
        <is>
          <t>SUS-406-F</t>
        </is>
      </c>
    </row>
    <row r="39">
      <c r="A39" s="4" t="inlineStr">
        <is>
          <t>Inclinação dz/dx da linha centro da roda -&gt; IC lateral traseiro (com sinal; motor no chassi)</t>
        </is>
      </c>
      <c r="B39" s="21">
        <f>('07_KINEMATICS'!$B$12-'07_KINEMATICS'!$B$14)/'07_KINEMATICS'!$B$13</f>
        <v/>
      </c>
      <c r="C39" s="10" t="inlineStr">
        <is>
          <t>-</t>
        </is>
      </c>
      <c r="D39" s="10" t="inlineStr">
        <is>
          <t>SUS-406-R</t>
        </is>
      </c>
    </row>
    <row r="40">
      <c r="A40" s="4" t="inlineStr">
        <is>
          <t>Anti-Dive (%) = FB_f·(−dz/dx)·L/h·100 (+ = anti, − = pro-dive)</t>
        </is>
      </c>
      <c r="B40" s="21">
        <f>'06_SUSPENSION'!$B$36*(-'06_SUSPENSION'!$B$38)*('05_VEHICLE'!$B$6/'05_VEHICLE'!$B$5)*100</f>
        <v/>
      </c>
      <c r="C40" s="10" t="inlineStr">
        <is>
          <t>%</t>
        </is>
      </c>
      <c r="D40" s="10" t="inlineStr">
        <is>
          <t>SUS-301</t>
        </is>
      </c>
    </row>
    <row r="41">
      <c r="A41" s="4" t="inlineStr">
        <is>
          <t>Anti-Squat (%) = TF_r·(dz/dx)·L/h·100 (+ = anti, − = pro-squat)</t>
        </is>
      </c>
      <c r="B41" s="21">
        <f>'06_SUSPENSION'!$B$37*'06_SUSPENSION'!$B$39*('05_VEHICLE'!$B$6/'05_VEHICLE'!$B$5)*100</f>
        <v/>
      </c>
      <c r="C41" s="10" t="inlineStr">
        <is>
          <t>%</t>
        </is>
      </c>
      <c r="D41" s="10" t="inlineStr">
        <is>
          <t>SUS-302</t>
        </is>
      </c>
    </row>
    <row r="43">
      <c r="A43" s="3" t="inlineStr">
        <is>
          <t>Steering (SUS-601) — escopo reduzido, sem Ackermann/bump steer</t>
        </is>
      </c>
    </row>
    <row r="44">
      <c r="A44" s="4" t="inlineStr">
        <is>
          <t>Steering Ratio (SR)</t>
        </is>
      </c>
      <c r="B44" s="20" t="n">
        <v>4.5</v>
      </c>
      <c r="C44" s="10" t="inlineStr">
        <is>
          <t>-</t>
        </is>
      </c>
      <c r="D44" s="10" t="inlineStr">
        <is>
          <t>SUS-601</t>
        </is>
      </c>
    </row>
    <row r="46">
      <c r="A46" s="3" t="inlineStr">
        <is>
          <t>Pneu em série e ride rate (EDR-045) — K_T PROVISÓRIO: rigidez vertical do .tir TTC, não é o pneu do carro</t>
        </is>
      </c>
    </row>
    <row r="47">
      <c r="A47" s="4" t="inlineStr">
        <is>
          <t>Rigidez vertical do pneu - dianteiro (K_T)</t>
        </is>
      </c>
      <c r="B47" s="16" t="n">
        <v>120312</v>
      </c>
      <c r="C47" s="10" t="inlineStr">
        <is>
          <t>N/m</t>
        </is>
      </c>
      <c r="D47" s="10" t="inlineStr">
        <is>
          <t>SUS-211</t>
        </is>
      </c>
    </row>
    <row r="48">
      <c r="A48" s="4" t="inlineStr">
        <is>
          <t>Rigidez vertical do pneu - traseiro (K_T)</t>
        </is>
      </c>
      <c r="B48" s="16" t="n">
        <v>120312</v>
      </c>
      <c r="C48" s="10" t="inlineStr">
        <is>
          <t>N/m</t>
        </is>
      </c>
      <c r="D48" s="10" t="inlineStr">
        <is>
          <t>SUS-211</t>
        </is>
      </c>
    </row>
    <row r="49">
      <c r="A49" s="4" t="inlineStr">
        <is>
          <t>Ride rate dianteiro K_R = K_W·K_T/(K_W+K_T)</t>
        </is>
      </c>
      <c r="B49" s="21">
        <f>'06_SUSPENSION'!$B$18*'06_SUSPENSION'!$B$47/('06_SUSPENSION'!$B$18+'06_SUSPENSION'!$B$47)</f>
        <v/>
      </c>
      <c r="C49" s="10" t="inlineStr">
        <is>
          <t>N/m</t>
        </is>
      </c>
      <c r="D49" s="10" t="inlineStr">
        <is>
          <t>SUS-212</t>
        </is>
      </c>
    </row>
    <row r="50">
      <c r="A50" s="4" t="inlineStr">
        <is>
          <t>Ride rate traseiro K_R = K_W·K_T/(K_W+K_T)</t>
        </is>
      </c>
      <c r="B50" s="21">
        <f>'06_SUSPENSION'!$B$19*'06_SUSPENSION'!$B$48/('06_SUSPENSION'!$B$19+'06_SUSPENSION'!$B$48)</f>
        <v/>
      </c>
      <c r="C50" s="10" t="inlineStr">
        <is>
          <t>N/m</t>
        </is>
      </c>
      <c r="D50" s="10" t="inlineStr">
        <is>
          <t>SUS-212</t>
        </is>
      </c>
    </row>
    <row r="51">
      <c r="A51" s="4" t="inlineStr">
        <is>
          <t>Rigidez de rolagem do par de pneus - dianteira (K_T·t_F²/2)</t>
        </is>
      </c>
      <c r="B51" s="21">
        <f>'06_SUSPENSION'!$B$47*'05_VEHICLE'!$B$7^2/2</f>
        <v/>
      </c>
      <c r="C51" s="10" t="inlineStr">
        <is>
          <t>N*m/rad</t>
        </is>
      </c>
      <c r="D51" s="10" t="inlineStr">
        <is>
          <t>SUS-206</t>
        </is>
      </c>
    </row>
    <row r="52">
      <c r="A52" s="4" t="inlineStr">
        <is>
          <t>Rigidez de rolagem do par de pneus - traseira (K_T·t_R²/2)</t>
        </is>
      </c>
      <c r="B52" s="21">
        <f>'06_SUSPENSION'!$B$48*'05_VEHICLE'!$B$8^2/2</f>
        <v/>
      </c>
      <c r="C52" s="10" t="inlineStr">
        <is>
          <t>N*m/rad</t>
        </is>
      </c>
      <c r="D52" s="10" t="inlineStr">
        <is>
          <t>SUS-207</t>
        </is>
      </c>
    </row>
  </sheetData>
  <mergeCells count="10">
    <mergeCell ref="A34:E34"/>
    <mergeCell ref="A35:E35"/>
    <mergeCell ref="A43:E43"/>
    <mergeCell ref="A1:E1"/>
    <mergeCell ref="A13:E13"/>
    <mergeCell ref="A31:E31"/>
    <mergeCell ref="A17:E17"/>
    <mergeCell ref="A9:E9"/>
    <mergeCell ref="A27:E27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07_KINEMATICS</t>
        </is>
      </c>
    </row>
    <row r="3">
      <c r="A3" s="3" t="inlineStr">
        <is>
          <t>Status: PROVISÓRIO (estrutura pronta; valores abaixo NÃO vêm do OptimumKinematics ainda)</t>
        </is>
      </c>
    </row>
    <row r="4">
      <c r="A4" s="23" t="inlineStr">
        <is>
          <t>Todos os campos desta aba são PLACEHOLDER até a Fase 2 (integração real com OptimumKinematics). Servem para a fórmula de Anti-Dive/Anti-Squat funcionar de ponta a ponta antes de existir dado real.</t>
        </is>
      </c>
    </row>
    <row r="6">
      <c r="A6" s="3" t="inlineStr">
        <is>
          <t>Kinematic Operating Point (KOP) ativo</t>
        </is>
      </c>
    </row>
    <row r="7">
      <c r="A7" s="4" t="inlineStr">
        <is>
          <t>KOP</t>
        </is>
      </c>
      <c r="B7" s="9" t="inlineStr">
        <is>
          <t>Ride Height Estático (RH)</t>
        </is>
      </c>
      <c r="C7" s="10" t="inlineStr">
        <is>
          <t>-</t>
        </is>
      </c>
      <c r="D7" s="10" t="inlineStr">
        <is>
          <t>-</t>
        </is>
      </c>
    </row>
    <row r="9">
      <c r="A9" s="3" t="inlineStr">
        <is>
          <t>Instant Center — Vista Lateral (SUS-406) — usado por Anti-Dive/Anti-Squat</t>
        </is>
      </c>
    </row>
    <row r="10">
      <c r="A10" s="4" t="inlineStr">
        <is>
          <t>Altura do IC lateral dianteiro (z_ICF)</t>
        </is>
      </c>
      <c r="B10" s="22" t="n">
        <v>0.2</v>
      </c>
      <c r="C10" s="10" t="inlineStr">
        <is>
          <t>m</t>
        </is>
      </c>
      <c r="D10" s="10" t="inlineStr">
        <is>
          <t>SUS-406-F</t>
        </is>
      </c>
    </row>
    <row r="11">
      <c r="A11" s="4" t="inlineStr">
        <is>
          <t>Δx do IC lateral dianteiro ao contact patch (x_IC − x_CP; ISO: + = à frente)</t>
        </is>
      </c>
      <c r="B11" s="22" t="n">
        <v>-2.5</v>
      </c>
      <c r="C11" s="10" t="inlineStr">
        <is>
          <t>m</t>
        </is>
      </c>
      <c r="D11" s="10" t="inlineStr">
        <is>
          <t>SUS-406-F</t>
        </is>
      </c>
    </row>
    <row r="12">
      <c r="A12" s="4" t="inlineStr">
        <is>
          <t>Altura do IC lateral traseiro (z_ICR)</t>
        </is>
      </c>
      <c r="B12" s="22" t="n">
        <v>0.25</v>
      </c>
      <c r="C12" s="10" t="inlineStr">
        <is>
          <t>m</t>
        </is>
      </c>
      <c r="D12" s="10" t="inlineStr">
        <is>
          <t>SUS-406-R</t>
        </is>
      </c>
    </row>
    <row r="13">
      <c r="A13" s="4" t="inlineStr">
        <is>
          <t>Δx do IC lateral traseiro ao centro da roda (x_IC − x_WC; ISO: + = à frente)</t>
        </is>
      </c>
      <c r="B13" s="22" t="n">
        <v>2</v>
      </c>
      <c r="C13" s="10" t="inlineStr">
        <is>
          <t>m</t>
        </is>
      </c>
      <c r="D13" s="10" t="inlineStr">
        <is>
          <t>SUS-406-R</t>
        </is>
      </c>
    </row>
    <row r="14">
      <c r="A14" s="4" t="inlineStr">
        <is>
          <t>Altura do centro da roda traseira (ponto de reação do anti-squat)</t>
        </is>
      </c>
      <c r="B14" s="22">
        <f>'05_VEHICLE'!$B$17</f>
        <v/>
      </c>
      <c r="C14" s="10" t="inlineStr">
        <is>
          <t>m</t>
        </is>
      </c>
      <c r="D14" s="10" t="inlineStr">
        <is>
          <t>SUS-406-R</t>
        </is>
      </c>
    </row>
    <row r="15">
      <c r="A15" s="3" t="inlineStr">
        <is>
          <t>Instant Center — Vista Frontal (SUS-403) — cross-check de RC (SUS-402) via Python</t>
        </is>
      </c>
    </row>
    <row r="16">
      <c r="A16" s="10" t="inlineStr">
        <is>
          <t>SUS-402 (RC via interseção geométrica do IC frontal) foi formalizado e implementado em kinematics_model_V2_0.py (V2) - testado 11/11 (SUS-402 e SUS-406) com geometria sintética (DR-009). NÃO implementado em fórmula do Excel (complexidade de dupla interseção 2D não compensa em planilha). Os campos abaixo alimentariam esse script quando hardpoints reais existirem; hoje são só posição de referência.</t>
        </is>
      </c>
    </row>
    <row r="17">
      <c r="A17" s="4" t="inlineStr">
        <is>
          <t>Y do IC frontal dianteiro</t>
        </is>
      </c>
      <c r="B17" s="22" t="n">
        <v>1.5</v>
      </c>
      <c r="C17" s="10" t="inlineStr">
        <is>
          <t>m</t>
        </is>
      </c>
      <c r="D17" s="10" t="inlineStr">
        <is>
          <t>SUS-403-F</t>
        </is>
      </c>
    </row>
    <row r="18">
      <c r="A18" s="4" t="inlineStr">
        <is>
          <t>Z do IC frontal dianteiro</t>
        </is>
      </c>
      <c r="B18" s="22" t="n">
        <v>0.15</v>
      </c>
      <c r="C18" s="10" t="inlineStr">
        <is>
          <t>m</t>
        </is>
      </c>
      <c r="D18" s="10" t="inlineStr">
        <is>
          <t>SUS-403-F</t>
        </is>
      </c>
    </row>
    <row r="19">
      <c r="A19" s="4" t="inlineStr">
        <is>
          <t>Y do IC frontal traseiro</t>
        </is>
      </c>
      <c r="B19" s="22" t="n">
        <v>1.8</v>
      </c>
      <c r="C19" s="10" t="inlineStr">
        <is>
          <t>m</t>
        </is>
      </c>
      <c r="D19" s="10" t="inlineStr">
        <is>
          <t>SUS-403-R</t>
        </is>
      </c>
    </row>
    <row r="20">
      <c r="A20" s="4" t="inlineStr">
        <is>
          <t>Z do IC frontal traseiro</t>
        </is>
      </c>
      <c r="B20" s="22" t="n">
        <v>0.2</v>
      </c>
      <c r="C20" s="10" t="inlineStr">
        <is>
          <t>m</t>
        </is>
      </c>
      <c r="D20" s="10" t="inlineStr">
        <is>
          <t>SUS-403-R</t>
        </is>
      </c>
    </row>
    <row r="22">
      <c r="A22" s="3" t="inlineStr">
        <is>
          <t>Camber Gain (SUS-404) — não alimenta nenhum cálculo de carga da V1, só REFERENCE</t>
        </is>
      </c>
    </row>
    <row r="23">
      <c r="A23" s="4" t="inlineStr">
        <is>
          <t>Camber Gain dianteiro (dCamber/dz)</t>
        </is>
      </c>
      <c r="B23" s="22" t="n">
        <v>-0.6</v>
      </c>
      <c r="C23" s="10" t="inlineStr">
        <is>
          <t>deg/mm</t>
        </is>
      </c>
      <c r="D23" s="10" t="inlineStr">
        <is>
          <t>SUS-404-F</t>
        </is>
      </c>
    </row>
    <row r="24">
      <c r="A24" s="4" t="inlineStr">
        <is>
          <t>Camber Gain traseiro (dCamber/dz)</t>
        </is>
      </c>
      <c r="B24" s="22" t="n">
        <v>-0.5</v>
      </c>
      <c r="C24" s="10" t="inlineStr">
        <is>
          <t>deg/mm</t>
        </is>
      </c>
      <c r="D24" s="10" t="inlineStr">
        <is>
          <t>SUS-404-R</t>
        </is>
      </c>
    </row>
    <row r="26">
      <c r="A26" s="3" t="inlineStr">
        <is>
          <t>Toe Curve (SUS-405) — não alimenta nenhum cálculo de carga da V1, só REFERENCE</t>
        </is>
      </c>
    </row>
    <row r="27">
      <c r="A27" s="4" t="inlineStr">
        <is>
          <t>Toe Gain dianteiro (dToe/dz)</t>
        </is>
      </c>
      <c r="B27" s="22" t="n">
        <v>0.05</v>
      </c>
      <c r="C27" s="10" t="inlineStr">
        <is>
          <t>deg/mm</t>
        </is>
      </c>
      <c r="D27" s="10" t="inlineStr">
        <is>
          <t>SUS-405-F</t>
        </is>
      </c>
    </row>
    <row r="28">
      <c r="A28" s="4" t="inlineStr">
        <is>
          <t>Toe Gain traseiro (dToe/dz)</t>
        </is>
      </c>
      <c r="B28" s="22" t="n">
        <v>0.05</v>
      </c>
      <c r="C28" s="10" t="inlineStr">
        <is>
          <t>deg/mm</t>
        </is>
      </c>
      <c r="D28" s="10" t="inlineStr">
        <is>
          <t>SUS-405-R</t>
        </is>
      </c>
    </row>
    <row r="30">
      <c r="A30" s="3" t="inlineStr">
        <is>
          <t>Curso de Suspensão Disponível — para checagem contra REQ-004 (&gt;=50mm)</t>
        </is>
      </c>
    </row>
    <row r="31">
      <c r="A31" s="4" t="inlineStr">
        <is>
          <t>Curso útil disponível - dianteiro (bump+rebound)</t>
        </is>
      </c>
      <c r="B31" s="22" t="n">
        <v>60</v>
      </c>
      <c r="C31" s="10" t="inlineStr">
        <is>
          <t>mm</t>
        </is>
      </c>
      <c r="D31" s="10" t="inlineStr">
        <is>
          <t>-</t>
        </is>
      </c>
    </row>
    <row r="32">
      <c r="A32" s="4" t="inlineStr">
        <is>
          <t>Curso útil disponível - traseiro (bump+rebound)</t>
        </is>
      </c>
      <c r="B32" s="22" t="n">
        <v>65</v>
      </c>
      <c r="C32" s="10" t="inlineStr">
        <is>
          <t>mm</t>
        </is>
      </c>
      <c r="D32" s="10" t="inlineStr">
        <is>
          <t>-</t>
        </is>
      </c>
    </row>
    <row r="34">
      <c r="A34" s="3" t="inlineStr">
        <is>
          <t>V2.0 — Resultados do solver cinemático (Python; cross-check, nunca REFERENCE)</t>
        </is>
      </c>
    </row>
    <row r="35" ht="62" customHeight="1">
      <c r="A35" s="23" t="inlineStr">
        <is>
          <t>Origem: kinematics_model_V2_0.py -&gt; kinematics_sweep_&lt;canto&gt;.csv (Data Contract V2.0, seção 6). Atualização manual até existir bridge (DR-008). Preencher SOMENTE com hardpoints reais (Status diferente de SYNTHETIC). Enquanto não houver, os campos ficam N/A. O Excel não recalcula cinemática (DR-009).</t>
        </is>
      </c>
    </row>
    <row r="36">
      <c r="A36" s="4" t="inlineStr">
        <is>
          <t>Camber estático - dianteiro</t>
        </is>
      </c>
      <c r="B36" s="22" t="inlineStr">
        <is>
          <t>N/A</t>
        </is>
      </c>
      <c r="C36" s="10" t="inlineStr">
        <is>
          <t>deg</t>
        </is>
      </c>
      <c r="D36" s="10" t="inlineStr">
        <is>
          <t>SUS-407</t>
        </is>
      </c>
      <c r="E36" t="inlineStr">
        <is>
          <t>sem hardpoints reais</t>
        </is>
      </c>
    </row>
    <row r="37">
      <c r="A37" s="4" t="inlineStr">
        <is>
          <t>Camber estático - traseiro</t>
        </is>
      </c>
      <c r="B37" s="22" t="inlineStr">
        <is>
          <t>N/A</t>
        </is>
      </c>
      <c r="C37" s="10" t="inlineStr">
        <is>
          <t>deg</t>
        </is>
      </c>
      <c r="D37" s="10" t="inlineStr">
        <is>
          <t>SUS-407</t>
        </is>
      </c>
      <c r="E37" t="inlineStr">
        <is>
          <t>sem hardpoints reais</t>
        </is>
      </c>
    </row>
    <row r="38">
      <c r="A38" s="4" t="inlineStr">
        <is>
          <t>Camber gain (dγ/dz) - dianteiro</t>
        </is>
      </c>
      <c r="B38" s="22" t="inlineStr">
        <is>
          <t>N/A</t>
        </is>
      </c>
      <c r="C38" s="10" t="inlineStr">
        <is>
          <t>deg/mm</t>
        </is>
      </c>
      <c r="D38" s="10" t="inlineStr">
        <is>
          <t>SUS-407</t>
        </is>
      </c>
      <c r="E38" t="inlineStr">
        <is>
          <t>sem hardpoints reais</t>
        </is>
      </c>
    </row>
    <row r="39">
      <c r="A39" s="4" t="inlineStr">
        <is>
          <t>Camber gain (dγ/dz) - traseiro</t>
        </is>
      </c>
      <c r="B39" s="22" t="inlineStr">
        <is>
          <t>N/A</t>
        </is>
      </c>
      <c r="C39" s="10" t="inlineStr">
        <is>
          <t>deg/mm</t>
        </is>
      </c>
      <c r="D39" s="10" t="inlineStr">
        <is>
          <t>SUS-407</t>
        </is>
      </c>
      <c r="E39" t="inlineStr">
        <is>
          <t>sem hardpoints reais</t>
        </is>
      </c>
    </row>
    <row r="40">
      <c r="A40" s="4" t="inlineStr">
        <is>
          <t>Toe estático - dianteiro</t>
        </is>
      </c>
      <c r="B40" s="22" t="inlineStr">
        <is>
          <t>N/A</t>
        </is>
      </c>
      <c r="C40" s="10" t="inlineStr">
        <is>
          <t>deg</t>
        </is>
      </c>
      <c r="D40" s="10" t="inlineStr">
        <is>
          <t>SUS-408</t>
        </is>
      </c>
      <c r="E40" t="inlineStr">
        <is>
          <t>sem hardpoints reais</t>
        </is>
      </c>
    </row>
    <row r="41">
      <c r="A41" s="4" t="inlineStr">
        <is>
          <t>Toe estático - traseiro</t>
        </is>
      </c>
      <c r="B41" s="22" t="inlineStr">
        <is>
          <t>N/A</t>
        </is>
      </c>
      <c r="C41" s="10" t="inlineStr">
        <is>
          <t>deg</t>
        </is>
      </c>
      <c r="D41" s="10" t="inlineStr">
        <is>
          <t>SUS-408</t>
        </is>
      </c>
      <c r="E41" t="inlineStr">
        <is>
          <t>sem hardpoints reais</t>
        </is>
      </c>
    </row>
    <row r="42">
      <c r="A42" s="4" t="inlineStr">
        <is>
          <t>Bump steer (dδ/dz) - dianteiro</t>
        </is>
      </c>
      <c r="B42" s="22" t="inlineStr">
        <is>
          <t>N/A</t>
        </is>
      </c>
      <c r="C42" s="10" t="inlineStr">
        <is>
          <t>deg/mm</t>
        </is>
      </c>
      <c r="D42" s="10" t="inlineStr">
        <is>
          <t>SUS-408</t>
        </is>
      </c>
      <c r="E42" t="inlineStr">
        <is>
          <t>sem hardpoints reais</t>
        </is>
      </c>
    </row>
    <row r="43">
      <c r="A43" s="4" t="inlineStr">
        <is>
          <t>Bump steer (dδ/dz) - traseiro</t>
        </is>
      </c>
      <c r="B43" s="22" t="inlineStr">
        <is>
          <t>N/A</t>
        </is>
      </c>
      <c r="C43" s="10" t="inlineStr">
        <is>
          <t>deg/mm</t>
        </is>
      </c>
      <c r="D43" s="10" t="inlineStr">
        <is>
          <t>SUS-408</t>
        </is>
      </c>
      <c r="E43" t="inlineStr">
        <is>
          <t>sem hardpoints reais</t>
        </is>
      </c>
    </row>
    <row r="44">
      <c r="A44" s="4" t="inlineStr">
        <is>
          <t>Caster - dianteiro</t>
        </is>
      </c>
      <c r="B44" s="22" t="inlineStr">
        <is>
          <t>N/A</t>
        </is>
      </c>
      <c r="C44" s="10" t="inlineStr">
        <is>
          <t>deg</t>
        </is>
      </c>
      <c r="D44" s="10" t="inlineStr">
        <is>
          <t>SUS-410</t>
        </is>
      </c>
      <c r="E44" t="inlineStr">
        <is>
          <t>sem hardpoints reais</t>
        </is>
      </c>
    </row>
    <row r="45">
      <c r="A45" s="4" t="inlineStr">
        <is>
          <t>Caster - traseiro</t>
        </is>
      </c>
      <c r="B45" s="22" t="inlineStr">
        <is>
          <t>N/A</t>
        </is>
      </c>
      <c r="C45" s="10" t="inlineStr">
        <is>
          <t>deg</t>
        </is>
      </c>
      <c r="D45" s="10" t="inlineStr">
        <is>
          <t>SUS-410</t>
        </is>
      </c>
      <c r="E45" t="inlineStr">
        <is>
          <t>sem hardpoints reais</t>
        </is>
      </c>
    </row>
    <row r="46">
      <c r="A46" s="4" t="inlineStr">
        <is>
          <t>KPI - dianteiro</t>
        </is>
      </c>
      <c r="B46" s="22" t="inlineStr">
        <is>
          <t>N/A</t>
        </is>
      </c>
      <c r="C46" s="10" t="inlineStr">
        <is>
          <t>deg</t>
        </is>
      </c>
      <c r="D46" s="10" t="inlineStr">
        <is>
          <t>SUS-410</t>
        </is>
      </c>
      <c r="E46" t="inlineStr">
        <is>
          <t>sem hardpoints reais</t>
        </is>
      </c>
    </row>
    <row r="47">
      <c r="A47" s="4" t="inlineStr">
        <is>
          <t>KPI - traseiro</t>
        </is>
      </c>
      <c r="B47" s="22" t="inlineStr">
        <is>
          <t>N/A</t>
        </is>
      </c>
      <c r="C47" s="10" t="inlineStr">
        <is>
          <t>deg</t>
        </is>
      </c>
      <c r="D47" s="10" t="inlineStr">
        <is>
          <t>SUS-410</t>
        </is>
      </c>
      <c r="E47" t="inlineStr">
        <is>
          <t>sem hardpoints reais</t>
        </is>
      </c>
    </row>
    <row r="48">
      <c r="A48" s="4" t="inlineStr">
        <is>
          <t>Scrub radius - dianteiro</t>
        </is>
      </c>
      <c r="B48" s="22" t="inlineStr">
        <is>
          <t>N/A</t>
        </is>
      </c>
      <c r="C48" s="10" t="inlineStr">
        <is>
          <t>mm</t>
        </is>
      </c>
      <c r="D48" s="10" t="inlineStr">
        <is>
          <t>SUS-410</t>
        </is>
      </c>
      <c r="E48" t="inlineStr">
        <is>
          <t>sem hardpoints reais</t>
        </is>
      </c>
    </row>
    <row r="49">
      <c r="A49" s="4" t="inlineStr">
        <is>
          <t>Scrub radius - traseiro</t>
        </is>
      </c>
      <c r="B49" s="22" t="inlineStr">
        <is>
          <t>N/A</t>
        </is>
      </c>
      <c r="C49" s="10" t="inlineStr">
        <is>
          <t>mm</t>
        </is>
      </c>
      <c r="D49" s="10" t="inlineStr">
        <is>
          <t>SUS-410</t>
        </is>
      </c>
      <c r="E49" t="inlineStr">
        <is>
          <t>sem hardpoints reais</t>
        </is>
      </c>
    </row>
    <row r="50">
      <c r="A50" s="4" t="inlineStr">
        <is>
          <t>Mechanical trail - dianteiro</t>
        </is>
      </c>
      <c r="B50" s="22" t="inlineStr">
        <is>
          <t>N/A</t>
        </is>
      </c>
      <c r="C50" s="10" t="inlineStr">
        <is>
          <t>mm</t>
        </is>
      </c>
      <c r="D50" s="10" t="inlineStr">
        <is>
          <t>SUS-410</t>
        </is>
      </c>
      <c r="E50" t="inlineStr">
        <is>
          <t>sem hardpoints reais</t>
        </is>
      </c>
    </row>
    <row r="51">
      <c r="A51" s="4" t="inlineStr">
        <is>
          <t>Mechanical trail - traseiro</t>
        </is>
      </c>
      <c r="B51" s="22" t="inlineStr">
        <is>
          <t>N/A</t>
        </is>
      </c>
      <c r="C51" s="10" t="inlineStr">
        <is>
          <t>mm</t>
        </is>
      </c>
      <c r="D51" s="10" t="inlineStr">
        <is>
          <t>SUS-410</t>
        </is>
      </c>
      <c r="E51" t="inlineStr">
        <is>
          <t>sem hardpoints reais</t>
        </is>
      </c>
    </row>
    <row r="52">
      <c r="A52" s="4" t="inlineStr">
        <is>
          <t>Track change em ±30 mm - dianteiro</t>
        </is>
      </c>
      <c r="B52" s="22" t="inlineStr">
        <is>
          <t>N/A</t>
        </is>
      </c>
      <c r="C52" s="10" t="inlineStr">
        <is>
          <t>mm</t>
        </is>
      </c>
      <c r="D52" s="10" t="inlineStr">
        <is>
          <t>SUS-411</t>
        </is>
      </c>
      <c r="E52" t="inlineStr">
        <is>
          <t>sem hardpoints reais</t>
        </is>
      </c>
    </row>
    <row r="53">
      <c r="A53" s="4" t="inlineStr">
        <is>
          <t>Track change em ±30 mm - traseiro</t>
        </is>
      </c>
      <c r="B53" s="22" t="inlineStr">
        <is>
          <t>N/A</t>
        </is>
      </c>
      <c r="C53" s="10" t="inlineStr">
        <is>
          <t>mm</t>
        </is>
      </c>
      <c r="D53" s="10" t="inlineStr">
        <is>
          <t>SUS-411</t>
        </is>
      </c>
      <c r="E53" t="inlineStr">
        <is>
          <t>sem hardpoints reais</t>
        </is>
      </c>
    </row>
    <row r="54">
      <c r="A54" s="4" t="inlineStr">
        <is>
          <t>Motion Ratio MR [wheel/spring] no RH - dianteiro</t>
        </is>
      </c>
      <c r="B54" s="22" t="inlineStr">
        <is>
          <t>N/A</t>
        </is>
      </c>
      <c r="C54" s="10" t="inlineStr">
        <is>
          <t>-</t>
        </is>
      </c>
      <c r="D54" s="10" t="inlineStr">
        <is>
          <t>SUS-409</t>
        </is>
      </c>
      <c r="E54" t="inlineStr">
        <is>
          <t>sem hardpoints reais</t>
        </is>
      </c>
    </row>
    <row r="55">
      <c r="A55" s="4" t="inlineStr">
        <is>
          <t>Motion Ratio MR [wheel/spring] no RH - traseiro</t>
        </is>
      </c>
      <c r="B55" s="22" t="inlineStr">
        <is>
          <t>N/A</t>
        </is>
      </c>
      <c r="C55" s="10" t="inlineStr">
        <is>
          <t>-</t>
        </is>
      </c>
      <c r="D55" s="10" t="inlineStr">
        <is>
          <t>SUS-409</t>
        </is>
      </c>
      <c r="E55" t="inlineStr">
        <is>
          <t>sem hardpoints reais</t>
        </is>
      </c>
    </row>
    <row r="56">
      <c r="A56" s="4" t="inlineStr">
        <is>
          <t>Roll Center cinemático (altura acima do solo) - dianteiro</t>
        </is>
      </c>
      <c r="B56" s="22" t="inlineStr">
        <is>
          <t>N/A</t>
        </is>
      </c>
      <c r="C56" s="10" t="inlineStr">
        <is>
          <t>mm</t>
        </is>
      </c>
      <c r="D56" s="10" t="inlineStr">
        <is>
          <t>SUS-412</t>
        </is>
      </c>
      <c r="E56" t="inlineStr">
        <is>
          <t>sem hardpoints reais</t>
        </is>
      </c>
    </row>
    <row r="57">
      <c r="A57" s="4" t="inlineStr">
        <is>
          <t>Roll Center cinemático (altura acima do solo) - traseiro</t>
        </is>
      </c>
      <c r="B57" s="22" t="inlineStr">
        <is>
          <t>N/A</t>
        </is>
      </c>
      <c r="C57" s="10" t="inlineStr">
        <is>
          <t>mm</t>
        </is>
      </c>
      <c r="D57" s="10" t="inlineStr">
        <is>
          <t>SUS-412</t>
        </is>
      </c>
      <c r="E57" t="inlineStr">
        <is>
          <t>sem hardpoints reais</t>
        </is>
      </c>
    </row>
    <row r="58">
      <c r="A58" s="4" t="inlineStr">
        <is>
          <t>IC lateral (X, Z) - dianteiro</t>
        </is>
      </c>
      <c r="B58" s="22" t="inlineStr">
        <is>
          <t>N/A</t>
        </is>
      </c>
      <c r="C58" s="10" t="inlineStr">
        <is>
          <t>m</t>
        </is>
      </c>
      <c r="D58" s="10" t="inlineStr">
        <is>
          <t>SUS-412</t>
        </is>
      </c>
      <c r="E58" t="inlineStr">
        <is>
          <t>sem hardpoints reais</t>
        </is>
      </c>
    </row>
    <row r="59">
      <c r="A59" s="4" t="inlineStr">
        <is>
          <t>IC lateral (X, Z) - traseiro</t>
        </is>
      </c>
      <c r="B59" s="22" t="inlineStr">
        <is>
          <t>N/A</t>
        </is>
      </c>
      <c r="C59" s="10" t="inlineStr">
        <is>
          <t>m</t>
        </is>
      </c>
      <c r="D59" s="10" t="inlineStr">
        <is>
          <t>SUS-412</t>
        </is>
      </c>
      <c r="E59" t="inlineStr">
        <is>
          <t>sem hardpoints reais</t>
        </is>
      </c>
    </row>
    <row r="60">
      <c r="A60" s="4" t="inlineStr">
        <is>
          <t>Inclinação da linha de força lateral (dz/dx) - dianteiro</t>
        </is>
      </c>
      <c r="B60" s="22" t="inlineStr">
        <is>
          <t>N/A</t>
        </is>
      </c>
      <c r="C60" s="10" t="inlineStr">
        <is>
          <t>-</t>
        </is>
      </c>
      <c r="D60" s="10" t="inlineStr">
        <is>
          <t>SUS-412</t>
        </is>
      </c>
      <c r="E60" t="inlineStr">
        <is>
          <t>sem hardpoints reais</t>
        </is>
      </c>
    </row>
    <row r="61">
      <c r="A61" s="4" t="inlineStr">
        <is>
          <t>Inclinação da linha de força lateral (dz/dx) - traseiro</t>
        </is>
      </c>
      <c r="B61" s="22" t="inlineStr">
        <is>
          <t>N/A</t>
        </is>
      </c>
      <c r="C61" s="10" t="inlineStr">
        <is>
          <t>-</t>
        </is>
      </c>
      <c r="D61" s="10" t="inlineStr">
        <is>
          <t>SUS-412</t>
        </is>
      </c>
      <c r="E61" t="inlineStr">
        <is>
          <t>sem hardpoints reais</t>
        </is>
      </c>
    </row>
    <row r="63">
      <c r="A63" s="3" t="inlineStr">
        <is>
          <t>V2.0 — Schema de hardpoints (PROPOSTA; ver hardpoint-schema-V2.0.md)</t>
        </is>
      </c>
    </row>
    <row r="64">
      <c r="A64" s="4" t="inlineStr">
        <is>
          <t>Arquivos</t>
        </is>
      </c>
      <c r="B64" s="22" t="inlineStr">
        <is>
          <t>hardpoints.csv + hardpoints.meta.json</t>
        </is>
      </c>
      <c r="C64" s="10" t="inlineStr">
        <is>
          <t>-</t>
        </is>
      </c>
      <c r="D64" s="10" t="inlineStr">
        <is>
          <t>-</t>
        </is>
      </c>
    </row>
    <row r="65">
      <c r="A65" s="4" t="inlineStr">
        <is>
          <t>Colunas</t>
        </is>
      </c>
      <c r="B65" s="22" t="inlineStr">
        <is>
          <t>Point_ID, X_m, Y_m, Z_m, Component, Status</t>
        </is>
      </c>
      <c r="C65" s="10" t="inlineStr">
        <is>
          <t>-</t>
        </is>
      </c>
      <c r="D65" s="10" t="inlineStr">
        <is>
          <t>-</t>
        </is>
      </c>
    </row>
    <row r="66">
      <c r="A66" s="4" t="inlineStr">
        <is>
          <t>Eixos</t>
        </is>
      </c>
      <c r="B66" s="22" t="inlineStr">
        <is>
          <t>ISO 8855 (X frente, Y esquerda, Z cima), metros</t>
        </is>
      </c>
      <c r="C66" s="10" t="inlineStr">
        <is>
          <t>-</t>
        </is>
      </c>
      <c r="D66" s="10" t="inlineStr">
        <is>
          <t>-</t>
        </is>
      </c>
    </row>
    <row r="67">
      <c r="A67" s="4" t="inlineStr">
        <is>
          <t>Status permitidos</t>
        </is>
      </c>
      <c r="B67" s="22" t="inlineStr">
        <is>
          <t>SYNTHETIC, PROVISIONAL, DESIGN_INTENT, AS_BUILT</t>
        </is>
      </c>
      <c r="C67" s="10" t="inlineStr">
        <is>
          <t>-</t>
        </is>
      </c>
      <c r="D67" s="10" t="inlineStr">
        <is>
          <t>-</t>
        </is>
      </c>
    </row>
    <row r="68">
      <c r="A68" s="4" t="inlineStr">
        <is>
          <t>Geometry REV ativa (G-REV-X)</t>
        </is>
      </c>
      <c r="B68" s="22" t="inlineStr">
        <is>
          <t>TBD</t>
        </is>
      </c>
      <c r="C68" s="10" t="inlineStr">
        <is>
          <t>-</t>
        </is>
      </c>
      <c r="D68" s="10" t="inlineStr">
        <is>
          <t>-</t>
        </is>
      </c>
    </row>
    <row r="69">
      <c r="A69" s="4" t="inlineStr">
        <is>
          <t>Hardpoints reais carregados</t>
        </is>
      </c>
      <c r="B69" s="22" t="inlineStr">
        <is>
          <t>NÃO</t>
        </is>
      </c>
      <c r="C69" s="10" t="inlineStr">
        <is>
          <t>-</t>
        </is>
      </c>
      <c r="D69" s="10" t="inlineStr">
        <is>
          <t>-</t>
        </is>
      </c>
    </row>
  </sheetData>
  <mergeCells count="13">
    <mergeCell ref="A30:E30"/>
    <mergeCell ref="A34:E34"/>
    <mergeCell ref="A35:E35"/>
    <mergeCell ref="A4:E4"/>
    <mergeCell ref="A26:E26"/>
    <mergeCell ref="A16:E16"/>
    <mergeCell ref="A15:E15"/>
    <mergeCell ref="A63:E63"/>
    <mergeCell ref="A1:E1"/>
    <mergeCell ref="A6:E6"/>
    <mergeCell ref="A22:E22"/>
    <mergeCell ref="A9:E9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08_VEHICLE_STATE</t>
        </is>
      </c>
    </row>
    <row r="3">
      <c r="A3" s="3" t="inlineStr">
        <is>
          <t>Estado do veículo (manobra)</t>
        </is>
      </c>
    </row>
    <row r="4">
      <c r="A4" s="4" t="inlineStr">
        <is>
          <t>Aceleração longitudinal (a_x)</t>
        </is>
      </c>
      <c r="B4" s="16" t="n">
        <v>-5</v>
      </c>
      <c r="C4" s="10" t="inlineStr">
        <is>
          <t>m/s^2</t>
        </is>
      </c>
      <c r="D4" s="10" t="inlineStr">
        <is>
          <t>-</t>
        </is>
      </c>
    </row>
    <row r="5">
      <c r="A5" s="4" t="inlineStr">
        <is>
          <t>Aceleração lateral (a_y)</t>
        </is>
      </c>
      <c r="B5" s="16" t="n">
        <v>11.772</v>
      </c>
      <c r="C5" s="10" t="inlineStr">
        <is>
          <t>m/s^2</t>
        </is>
      </c>
      <c r="D5" s="10" t="inlineStr">
        <is>
          <t>-</t>
        </is>
      </c>
    </row>
    <row r="7">
      <c r="A7" s="3" t="inlineStr">
        <is>
          <t>Aero (constante por Setup — SUS-701/702, sem F_aero(v) na V1)</t>
        </is>
      </c>
    </row>
    <row r="8">
      <c r="A8" s="4" t="inlineStr">
        <is>
          <t>Downforce total</t>
        </is>
      </c>
      <c r="B8" s="16" t="n">
        <v>400</v>
      </c>
      <c r="C8" s="10" t="inlineStr">
        <is>
          <t>N</t>
        </is>
      </c>
      <c r="D8" s="10" t="inlineStr">
        <is>
          <t>SUS-701</t>
        </is>
      </c>
    </row>
    <row r="9">
      <c r="A9" s="4" t="inlineStr">
        <is>
          <t>Aero Balance (fração dianteira)</t>
        </is>
      </c>
      <c r="B9" s="16" t="n">
        <v>0.45</v>
      </c>
      <c r="C9" s="10" t="inlineStr">
        <is>
          <t>-</t>
        </is>
      </c>
      <c r="D9" s="10" t="inlineStr">
        <is>
          <t>SUS-702</t>
        </is>
      </c>
    </row>
  </sheetData>
  <mergeCells count="3">
    <mergeCell ref="A1:E1"/>
    <mergeCell ref="A7:E7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09_LOADS</t>
        </is>
      </c>
    </row>
    <row r="3">
      <c r="A3" s="3" t="inlineStr">
        <is>
          <t>Carga Estática (SUS-101)</t>
        </is>
      </c>
    </row>
    <row r="4">
      <c r="A4" s="4" t="inlineStr">
        <is>
          <t>Carga estática eixo dianteiro (W_f)</t>
        </is>
      </c>
      <c r="B4" s="21">
        <f>'05_VEHICLE'!$B$4*9.81*('05_VEHICLE'!$B$10/'05_VEHICLE'!$B$6)</f>
        <v/>
      </c>
      <c r="C4" s="10" t="inlineStr">
        <is>
          <t>N</t>
        </is>
      </c>
      <c r="D4" s="10" t="inlineStr">
        <is>
          <t>SUS-101</t>
        </is>
      </c>
    </row>
    <row r="5">
      <c r="A5" s="4" t="inlineStr">
        <is>
          <t>Carga estática eixo traseiro (W_r)</t>
        </is>
      </c>
      <c r="B5" s="21">
        <f>'05_VEHICLE'!$B$4*9.81*('05_VEHICLE'!$B$9/'05_VEHICLE'!$B$6)</f>
        <v/>
      </c>
      <c r="C5" s="10" t="inlineStr">
        <is>
          <t>N</t>
        </is>
      </c>
      <c r="D5" s="10" t="inlineStr">
        <is>
          <t>SUS-101</t>
        </is>
      </c>
    </row>
    <row r="6">
      <c r="A6" s="4" t="inlineStr">
        <is>
          <t>Fz estático FL</t>
        </is>
      </c>
      <c r="B6" s="21">
        <f>'09_LOADS'!$B$4/2</f>
        <v/>
      </c>
      <c r="C6" s="10" t="inlineStr">
        <is>
          <t>N</t>
        </is>
      </c>
      <c r="D6" s="10" t="inlineStr">
        <is>
          <t>SUS-101</t>
        </is>
      </c>
    </row>
    <row r="7">
      <c r="A7" s="4" t="inlineStr">
        <is>
          <t>Fz estático FR</t>
        </is>
      </c>
      <c r="B7" s="21">
        <f>'09_LOADS'!$B$4/2</f>
        <v/>
      </c>
      <c r="C7" s="10" t="inlineStr">
        <is>
          <t>N</t>
        </is>
      </c>
      <c r="D7" s="10" t="inlineStr">
        <is>
          <t>SUS-101</t>
        </is>
      </c>
    </row>
    <row r="8">
      <c r="A8" s="4" t="inlineStr">
        <is>
          <t>Fz estático RL</t>
        </is>
      </c>
      <c r="B8" s="21">
        <f>'09_LOADS'!$B$5/2</f>
        <v/>
      </c>
      <c r="C8" s="10" t="inlineStr">
        <is>
          <t>N</t>
        </is>
      </c>
      <c r="D8" s="10" t="inlineStr">
        <is>
          <t>SUS-101</t>
        </is>
      </c>
    </row>
    <row r="9">
      <c r="A9" s="4" t="inlineStr">
        <is>
          <t>Fz estático RR</t>
        </is>
      </c>
      <c r="B9" s="21">
        <f>'09_LOADS'!$B$5/2</f>
        <v/>
      </c>
      <c r="C9" s="10" t="inlineStr">
        <is>
          <t>N</t>
        </is>
      </c>
      <c r="D9" s="10" t="inlineStr">
        <is>
          <t>SUS-101</t>
        </is>
      </c>
    </row>
    <row r="11">
      <c r="A11" s="3" t="inlineStr">
        <is>
          <t>Transferência Longitudinal (SUS-102)</t>
        </is>
      </c>
    </row>
    <row r="12">
      <c r="A12" s="4" t="inlineStr">
        <is>
          <t>dFz longitudinal - eixo dianteiro</t>
        </is>
      </c>
      <c r="B12" s="21">
        <f>-'05_VEHICLE'!$B$4*'08_VEHICLE_STATE'!$B$4*'05_VEHICLE'!$B$5/'05_VEHICLE'!$B$6</f>
        <v/>
      </c>
      <c r="C12" s="10" t="inlineStr">
        <is>
          <t>N</t>
        </is>
      </c>
      <c r="D12" s="10" t="inlineStr">
        <is>
          <t>SUS-102</t>
        </is>
      </c>
    </row>
    <row r="13">
      <c r="A13" s="4" t="inlineStr">
        <is>
          <t>dFz longitudinal - eixo traseiro</t>
        </is>
      </c>
      <c r="B13" s="21">
        <f>+'05_VEHICLE'!$B$4*'08_VEHICLE_STATE'!$B$4*'05_VEHICLE'!$B$5/'05_VEHICLE'!$B$6</f>
        <v/>
      </c>
      <c r="C13" s="10" t="inlineStr">
        <is>
          <t>N</t>
        </is>
      </c>
      <c r="D13" s="10" t="inlineStr">
        <is>
          <t>SUS-102</t>
        </is>
      </c>
    </row>
    <row r="14">
      <c r="A14" s="4" t="inlineStr">
        <is>
          <t>dFz longitudinal por canto - dianteira</t>
        </is>
      </c>
      <c r="B14" s="21">
        <f>'09_LOADS'!$B$12/2</f>
        <v/>
      </c>
      <c r="C14" s="10" t="inlineStr">
        <is>
          <t>N</t>
        </is>
      </c>
      <c r="D14" s="10" t="inlineStr">
        <is>
          <t>SUS-102</t>
        </is>
      </c>
    </row>
    <row r="15">
      <c r="A15" s="4" t="inlineStr">
        <is>
          <t>dFz longitudinal por canto - traseira</t>
        </is>
      </c>
      <c r="B15" s="21">
        <f>'09_LOADS'!$B$13/2</f>
        <v/>
      </c>
      <c r="C15" s="10" t="inlineStr">
        <is>
          <t>N</t>
        </is>
      </c>
      <c r="D15" s="10" t="inlineStr">
        <is>
          <t>SUS-102</t>
        </is>
      </c>
    </row>
    <row r="17">
      <c r="A17" s="3" t="inlineStr">
        <is>
          <t>Transferência Lateral — Milliken, três massas, com termo gravitacional (SUS-103)</t>
        </is>
      </c>
    </row>
    <row r="18">
      <c r="A18" s="4" t="inlineStr">
        <is>
          <t>Altura do roll axis no CG suspenso (z_s, em a_s)</t>
        </is>
      </c>
      <c r="B18" s="21">
        <f>'06_SUSPENSION'!$B$14+('06_SUSPENSION'!$B$15-'06_SUSPENSION'!$B$14)*'05_VEHICLE'!$B$27/'05_VEHICLE'!$B$6</f>
        <v/>
      </c>
      <c r="C18" s="10" t="inlineStr">
        <is>
          <t>m</t>
        </is>
      </c>
      <c r="D18" s="10" t="inlineStr">
        <is>
          <t>-</t>
        </is>
      </c>
    </row>
    <row r="19">
      <c r="A19" s="4" t="inlineStr">
        <is>
          <t>dFz lateral - eixo dianteiro</t>
        </is>
      </c>
      <c r="B19" s="21">
        <f>IF(ISNUMBER('09_LOADS'!$B$21),('06_SUSPENSION'!$B$22*'09_LOADS'!$B$21+'08_VEHICLE_STATE'!$B$5*('05_VEHICLE'!$B$25*'06_SUSPENSION'!$B$14+'05_VEHICLE'!$B$14*'05_VEHICLE'!$B$16))/'05_VEHICLE'!$B$7,"N/A")</f>
        <v/>
      </c>
      <c r="C19" s="10" t="inlineStr">
        <is>
          <t>N</t>
        </is>
      </c>
      <c r="D19" s="10" t="inlineStr">
        <is>
          <t>SUS-103</t>
        </is>
      </c>
    </row>
    <row r="20">
      <c r="A20" s="4" t="inlineStr">
        <is>
          <t>dFz lateral - eixo traseiro</t>
        </is>
      </c>
      <c r="B20" s="21">
        <f>IF(ISNUMBER('09_LOADS'!$B$21),('06_SUSPENSION'!$B$23*'09_LOADS'!$B$21+'08_VEHICLE_STATE'!$B$5*('05_VEHICLE'!$B$26*'06_SUSPENSION'!$B$15+'05_VEHICLE'!$B$15*'05_VEHICLE'!$B$17))/'05_VEHICLE'!$B$8,"N/A")</f>
        <v/>
      </c>
      <c r="C20" s="10" t="inlineStr">
        <is>
          <t>N</t>
        </is>
      </c>
      <c r="D20" s="10" t="inlineStr">
        <is>
          <t>SUS-103</t>
        </is>
      </c>
    </row>
    <row r="21">
      <c r="A21" s="4" t="inlineStr">
        <is>
          <t>Ângulo de rolagem φ = m_s·a_y·h2/(K_φF+K_φR − m_s·g·h2) (+ = para fora da curva)</t>
        </is>
      </c>
      <c r="B21" s="21">
        <f>IF('06_SUSPENSION'!$B$22+'06_SUSPENSION'!$B$23-'05_VEHICLE'!$B$23*9.81*('05_VEHICLE'!$B$24-'09_LOADS'!$B$18)&lt;=0,"N/A - instabilidade de rolagem (m_s·g·h2 &gt;= K_φ, Milliken p. 682)",'05_VEHICLE'!$B$23*'08_VEHICLE_STATE'!$B$5*('05_VEHICLE'!$B$24-'09_LOADS'!$B$18)/('06_SUSPENSION'!$B$22+'06_SUSPENSION'!$B$23-'05_VEHICLE'!$B$23*9.81*('05_VEHICLE'!$B$24-'09_LOADS'!$B$18)))</f>
        <v/>
      </c>
      <c r="C21" s="10" t="inlineStr">
        <is>
          <t>rad</t>
        </is>
      </c>
      <c r="D21" s="10" t="inlineStr">
        <is>
          <t>SUS-103</t>
        </is>
      </c>
    </row>
    <row r="22">
      <c r="A22" s="3" t="inlineStr">
        <is>
          <t>Aero por canto (SUS-701/702)</t>
        </is>
      </c>
    </row>
    <row r="23">
      <c r="A23" s="4" t="inlineStr">
        <is>
          <t>Fz aero - eixo dianteiro</t>
        </is>
      </c>
      <c r="B23" s="21">
        <f>'08_VEHICLE_STATE'!$B$8*'08_VEHICLE_STATE'!$B$9</f>
        <v/>
      </c>
      <c r="C23" s="10" t="inlineStr">
        <is>
          <t>N</t>
        </is>
      </c>
      <c r="D23" s="10" t="inlineStr">
        <is>
          <t>-</t>
        </is>
      </c>
    </row>
    <row r="24">
      <c r="A24" s="4" t="inlineStr">
        <is>
          <t>Fz aero - eixo traseiro</t>
        </is>
      </c>
      <c r="B24" s="21">
        <f>'08_VEHICLE_STATE'!$B$8*(1-'08_VEHICLE_STATE'!$B$9)</f>
        <v/>
      </c>
      <c r="C24" s="10" t="inlineStr">
        <is>
          <t>N</t>
        </is>
      </c>
      <c r="D24" s="10" t="inlineStr">
        <is>
          <t>-</t>
        </is>
      </c>
    </row>
    <row r="25">
      <c r="A25" s="4" t="inlineStr">
        <is>
          <t>Fz aero FL</t>
        </is>
      </c>
      <c r="B25" s="21">
        <f>'09_LOADS'!$B$23/2</f>
        <v/>
      </c>
      <c r="C25" s="10" t="inlineStr">
        <is>
          <t>N</t>
        </is>
      </c>
      <c r="D25" s="10" t="inlineStr">
        <is>
          <t>-</t>
        </is>
      </c>
    </row>
    <row r="26">
      <c r="A26" s="4" t="inlineStr">
        <is>
          <t>Fz aero FR</t>
        </is>
      </c>
      <c r="B26" s="21">
        <f>'09_LOADS'!$B$23/2</f>
        <v/>
      </c>
      <c r="C26" s="10" t="inlineStr">
        <is>
          <t>N</t>
        </is>
      </c>
      <c r="D26" s="10" t="inlineStr">
        <is>
          <t>-</t>
        </is>
      </c>
    </row>
    <row r="27">
      <c r="A27" s="4" t="inlineStr">
        <is>
          <t>Fz aero RL</t>
        </is>
      </c>
      <c r="B27" s="21">
        <f>'09_LOADS'!$B$24/2</f>
        <v/>
      </c>
      <c r="C27" s="10" t="inlineStr">
        <is>
          <t>N</t>
        </is>
      </c>
      <c r="D27" s="10" t="inlineStr">
        <is>
          <t>-</t>
        </is>
      </c>
    </row>
    <row r="28">
      <c r="A28" s="4" t="inlineStr">
        <is>
          <t>Fz aero RR</t>
        </is>
      </c>
      <c r="B28" s="21">
        <f>'09_LOADS'!$B$24/2</f>
        <v/>
      </c>
      <c r="C28" s="10" t="inlineStr">
        <is>
          <t>N</t>
        </is>
      </c>
      <c r="D28" s="10" t="inlineStr">
        <is>
          <t>-</t>
        </is>
      </c>
    </row>
    <row r="30">
      <c r="A30" s="3" t="inlineStr">
        <is>
          <t>Fz Combinado por Canto (SUS-104)</t>
        </is>
      </c>
    </row>
    <row r="31">
      <c r="A31" s="4" t="inlineStr">
        <is>
          <t>Fz FL</t>
        </is>
      </c>
      <c r="B31" s="21">
        <f>'09_LOADS'!$B$6+'09_LOADS'!$B$14-'09_LOADS'!$B$19+'09_LOADS'!$B$25</f>
        <v/>
      </c>
      <c r="C31" s="10" t="inlineStr">
        <is>
          <t>N</t>
        </is>
      </c>
      <c r="D31" s="10" t="inlineStr">
        <is>
          <t>SUS-104</t>
        </is>
      </c>
    </row>
    <row r="32">
      <c r="A32" s="4" t="inlineStr">
        <is>
          <t>Fz FR</t>
        </is>
      </c>
      <c r="B32" s="21">
        <f>'09_LOADS'!$B$7+'09_LOADS'!$B$14+'09_LOADS'!$B$19+'09_LOADS'!$B$26</f>
        <v/>
      </c>
      <c r="C32" s="10" t="inlineStr">
        <is>
          <t>N</t>
        </is>
      </c>
      <c r="D32" s="10" t="inlineStr">
        <is>
          <t>SUS-104</t>
        </is>
      </c>
    </row>
    <row r="33">
      <c r="A33" s="4" t="inlineStr">
        <is>
          <t>Fz RL</t>
        </is>
      </c>
      <c r="B33" s="21">
        <f>'09_LOADS'!$B$8+'09_LOADS'!$B$15-'09_LOADS'!$B$20+'09_LOADS'!$B$27</f>
        <v/>
      </c>
      <c r="C33" s="10" t="inlineStr">
        <is>
          <t>N</t>
        </is>
      </c>
      <c r="D33" s="10" t="inlineStr">
        <is>
          <t>SUS-104</t>
        </is>
      </c>
    </row>
    <row r="34">
      <c r="A34" s="4" t="inlineStr">
        <is>
          <t>Fz RR</t>
        </is>
      </c>
      <c r="B34" s="21">
        <f>'09_LOADS'!$B$9+'09_LOADS'!$B$15+'09_LOADS'!$B$20+'09_LOADS'!$B$28</f>
        <v/>
      </c>
      <c r="C34" s="10" t="inlineStr">
        <is>
          <t>N</t>
        </is>
      </c>
      <c r="D34" s="10" t="inlineStr">
        <is>
          <t>SUS-104</t>
        </is>
      </c>
    </row>
  </sheetData>
  <mergeCells count="6">
    <mergeCell ref="A30:E30"/>
    <mergeCell ref="A11:E11"/>
    <mergeCell ref="A1:E1"/>
    <mergeCell ref="A22:E22"/>
    <mergeCell ref="A17:E17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6"/>
  <sheetViews>
    <sheetView showGridLines="0"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  <col width="62" customWidth="1" min="9" max="9"/>
  </cols>
  <sheetData>
    <row r="1" ht="22" customHeight="1">
      <c r="A1" s="24" t="inlineStr">
        <is>
          <t>10_TIRE</t>
        </is>
      </c>
    </row>
    <row r="3" ht="44" customHeight="1">
      <c r="A3" s="26" t="inlineStr">
        <is>
          <t>Aviso — DATASET PROVISÓRIO (dado de desenvolvimento): os coeficientes abaixo vêm de um .tir TTC recebido para permitir o desenvolvimento; NÃO correspondem necessariamente ao pneu que será usado. Nada nesta aba é medição ou resultado do carro (Guia: o workbook não apresenta μ próprio como medido).</t>
        </is>
      </c>
    </row>
    <row r="4">
      <c r="A4" s="28" t="inlineStr">
        <is>
          <t>Dataset (metadados) — SUS-501/502/503, DR-011 e DR-013</t>
        </is>
      </c>
    </row>
    <row r="5">
      <c r="A5" s="4" t="inlineStr">
        <is>
          <t>Arquivo do dataset</t>
        </is>
      </c>
      <c r="B5" s="30" t="inlineStr">
        <is>
          <t>Hoosier_R25B_13x7_TTC_provisional.tir</t>
        </is>
      </c>
    </row>
    <row r="6">
      <c r="A6" s="4" t="inlineStr">
        <is>
          <t>Fonte / proveniência</t>
        </is>
      </c>
      <c r="B6" s="30" t="inlineStr">
        <is>
          <t>TTC via Stackpole (.tir); recebido em chat; PROVISÓRIO</t>
        </is>
      </c>
    </row>
    <row r="7">
      <c r="A7" s="4" t="inlineStr">
        <is>
          <t>Formato do modelo</t>
        </is>
      </c>
      <c r="B7" s="31" t="inlineStr">
        <is>
          <t>PAC2002 (≈ MF 5.2), USE_MODE 4 (combinado), estacionário</t>
        </is>
      </c>
    </row>
    <row r="8">
      <c r="A8" s="4" t="inlineStr">
        <is>
          <t>Tire REV (01_SETUP)</t>
        </is>
      </c>
      <c r="B8" s="32">
        <f>'01_SETUP'!$B$11</f>
        <v/>
      </c>
    </row>
    <row r="9">
      <c r="A9" s="4" t="inlineStr">
        <is>
          <t>Lado do arquivo (TYRESIDE)</t>
        </is>
      </c>
      <c r="B9" s="31" t="inlineStr">
        <is>
          <t>Right</t>
        </is>
      </c>
    </row>
    <row r="10">
      <c r="A10" s="4" t="inlineStr">
        <is>
          <t>convention_status (sinais de α, κ, γ)</t>
        </is>
      </c>
      <c r="B10" s="30" t="inlineStr">
        <is>
          <t>USER_ASSERTED — dados do TTC (SAE); sinal de IA/camber NÃO confirmado</t>
        </is>
      </c>
    </row>
    <row r="11">
      <c r="A11" s="4" t="inlineStr">
        <is>
          <t>Sistema de eixos do arquivo (declarado): SAE_CALSPAN ou ISO_TYDEX</t>
        </is>
      </c>
      <c r="B11" s="30" t="inlineStr">
        <is>
          <t>SAE_CALSPAN</t>
        </is>
      </c>
    </row>
    <row r="12">
      <c r="A12" s="4" t="inlineStr">
        <is>
          <t>s_α  (α_arquivo = s_α · α_ISO)</t>
        </is>
      </c>
      <c r="B12" s="33">
        <f>IF($B$11="SAE_CALSPAN",-1,IF($B$11="ISO_TYDEX",1,"N/A"))</f>
        <v/>
      </c>
    </row>
    <row r="13">
      <c r="A13" s="4" t="inlineStr">
        <is>
          <t>s_Fy (Fy_ISO = s_Fy · Fy_arquivo)</t>
        </is>
      </c>
      <c r="B13" s="33">
        <f>IF($B$11="SAE_CALSPAN",-1,IF($B$11="ISO_TYDEX",1,"N/A"))</f>
        <v/>
      </c>
    </row>
    <row r="14">
      <c r="A14" s="4" t="inlineStr">
        <is>
          <t>s_γ  (γ_arquivo = s_γ · γ_projeto) — INFERÊNCIA no modo SAE</t>
        </is>
      </c>
      <c r="B14" s="33">
        <f>IF($B$11="SAE_CALSPAN",-1,IF($B$11="ISO_TYDEX",1,"N/A"))</f>
        <v/>
      </c>
    </row>
    <row r="15">
      <c r="A15" s="4" t="inlineStr">
        <is>
          <t>Nível do modelo (DEC-007)</t>
        </is>
      </c>
      <c r="B15" s="31" t="inlineStr">
        <is>
          <t>2 — avaliação paramétrica dos coeficientes (sem fit próprio)</t>
        </is>
      </c>
    </row>
    <row r="16">
      <c r="A16" s="4" t="inlineStr">
        <is>
          <t>Verificação das equações (V2.3)</t>
        </is>
      </c>
      <c r="B16" s="30" t="inlineStr">
        <is>
          <t>Fy0 confere com Seward eq. 5.5-5.13 (PAC'96/2002); combinado (Gxα, Gyκ, SVyκ) com Pacejka 2006 eq. 4.E50-4.E67; Ky com um único λFz0 (EDR-049). Reproduz o MFeval MF5.2. NÃO validado contra medição nem OptimumTire</t>
        </is>
      </c>
    </row>
    <row r="17">
      <c r="A17" s="4" t="inlineStr">
        <is>
          <t>Dataset válido (IP = IP_NOM, PP* = 0, faixas coerentes, eixos declarados)?</t>
        </is>
      </c>
      <c r="B17" s="34">
        <f>IF(AND($B$95=$B$96,SUMPRODUCT(ABS($B$168:$B$175))=0,$B$88&gt;$B$87,$B$86&gt;0,ISNUMBER($B$12),ISNUMBER($B$13),ISNUMBER($B$14)),"OK","INVÁLIDO")</f>
        <v/>
      </c>
    </row>
    <row r="19">
      <c r="A19" s="28" t="inlineStr">
        <is>
          <t>Entradas por canto (FL, FR, RL, RR) e caso de verificação (VERIF) — α, γ, κ são DEMONSTRATIVOS</t>
        </is>
      </c>
    </row>
    <row r="20">
      <c r="A20" s="35" t="inlineStr">
        <is>
          <t>Canto</t>
        </is>
      </c>
      <c r="B20" s="36" t="inlineStr">
        <is>
          <t>FL</t>
        </is>
      </c>
      <c r="C20" s="36" t="inlineStr">
        <is>
          <t>FR</t>
        </is>
      </c>
      <c r="D20" s="36" t="inlineStr">
        <is>
          <t>RL</t>
        </is>
      </c>
      <c r="E20" s="36" t="inlineStr">
        <is>
          <t>RR</t>
        </is>
      </c>
      <c r="F20" s="36" t="inlineStr">
        <is>
          <t>VERIF</t>
        </is>
      </c>
    </row>
    <row r="21">
      <c r="A21" s="4" t="inlineStr">
        <is>
          <t>Lado da roda (L esquerda / R direita)</t>
        </is>
      </c>
      <c r="B21" s="37" t="inlineStr">
        <is>
          <t>L</t>
        </is>
      </c>
      <c r="C21" s="37" t="inlineStr">
        <is>
          <t>R</t>
        </is>
      </c>
      <c r="D21" s="37" t="inlineStr">
        <is>
          <t>L</t>
        </is>
      </c>
      <c r="E21" s="37" t="inlineStr">
        <is>
          <t>R</t>
        </is>
      </c>
      <c r="F21" s="37" t="inlineStr">
        <is>
          <t>R</t>
        </is>
      </c>
      <c r="G21" s="10" t="inlineStr">
        <is>
          <t>-</t>
        </is>
      </c>
      <c r="H21" s="10" t="inlineStr">
        <is>
          <t>SUS-501</t>
        </is>
      </c>
    </row>
    <row r="22">
      <c r="A22" s="4" t="inlineStr">
        <is>
          <t>Fz (de 09_LOADS, SUS-104; VERIF: valor fixo)</t>
        </is>
      </c>
      <c r="B22" s="21">
        <f>'09_LOADS'!$B$31</f>
        <v/>
      </c>
      <c r="C22" s="21">
        <f>'09_LOADS'!$B$32</f>
        <v/>
      </c>
      <c r="D22" s="21">
        <f>'09_LOADS'!$B$33</f>
        <v/>
      </c>
      <c r="E22" s="21">
        <f>'09_LOADS'!$B$34</f>
        <v/>
      </c>
      <c r="F22" s="20" t="n">
        <v>700</v>
      </c>
      <c r="G22" s="10" t="inlineStr">
        <is>
          <t>N</t>
        </is>
      </c>
      <c r="H22" s="10" t="inlineStr">
        <is>
          <t>SUS-104</t>
        </is>
      </c>
    </row>
    <row r="23">
      <c r="A23" s="4" t="inlineStr">
        <is>
          <t>Ângulo de deriva α (ISO 8855: + = velocidade p/ esquerda)</t>
        </is>
      </c>
      <c r="B23" s="20" t="n">
        <v>-3</v>
      </c>
      <c r="C23" s="20" t="n">
        <v>-3</v>
      </c>
      <c r="D23" s="20" t="n">
        <v>-2</v>
      </c>
      <c r="E23" s="20" t="n">
        <v>-2</v>
      </c>
      <c r="F23" s="20" t="n">
        <v>3</v>
      </c>
      <c r="G23" s="10" t="inlineStr">
        <is>
          <t>°</t>
        </is>
      </c>
      <c r="H23" s="10" t="inlineStr">
        <is>
          <t>SUS-501</t>
        </is>
      </c>
    </row>
    <row r="24">
      <c r="A24" s="4" t="inlineStr">
        <is>
          <t>Camber γ (projeto: + = topo para fora)</t>
        </is>
      </c>
      <c r="B24" s="20" t="n">
        <v>-1.5</v>
      </c>
      <c r="C24" s="20" t="n">
        <v>-1.5</v>
      </c>
      <c r="D24" s="20" t="n">
        <v>-1</v>
      </c>
      <c r="E24" s="20" t="n">
        <v>-1</v>
      </c>
      <c r="F24" s="20" t="n">
        <v>1.5</v>
      </c>
      <c r="G24" s="10" t="inlineStr">
        <is>
          <t>°</t>
        </is>
      </c>
      <c r="H24" s="10" t="inlineStr">
        <is>
          <t>SUS-404</t>
        </is>
      </c>
    </row>
    <row r="25">
      <c r="A25" s="4" t="inlineStr">
        <is>
          <t>Slip ratio κ (ISO: −1 = travada em frenagem)</t>
        </is>
      </c>
      <c r="B25" s="20" t="n">
        <v>-0.05</v>
      </c>
      <c r="C25" s="20" t="n">
        <v>-0.05</v>
      </c>
      <c r="D25" s="20" t="n">
        <v>-0.03</v>
      </c>
      <c r="E25" s="20" t="n">
        <v>-0.03</v>
      </c>
      <c r="F25" s="20" t="n">
        <v>0.05</v>
      </c>
      <c r="G25" s="10" t="inlineStr">
        <is>
          <t>-</t>
        </is>
      </c>
      <c r="H25" s="10" t="inlineStr">
        <is>
          <t>SUS-502</t>
        </is>
      </c>
    </row>
    <row r="26" ht="28" customHeight="1">
      <c r="A26" s="4" t="inlineStr">
        <is>
          <t>Status do ponto de operação (faixa do dataset)</t>
        </is>
      </c>
      <c r="B26" s="38">
        <f>IF(NOT(AND(ISNUMBER(B$22),ISNUMBER(B$23),ISNUMBER(B$24),ISNUMBER(B$25))),"N/A - entrada ausente",IF($B$17&lt;&gt;"OK","N/A - dataset inválido",IF(B$22&lt;=0,"N/A - Fz&lt;=0 (liftoff)",IF(OR(B$22&lt;$B$87,B$22&gt;$B$88),"N/A - Fz fora da faixa",IF(OR(B$38&lt;$B$89,B$38&gt;$B$90),"N/A - α fora da faixa",IF(OR(B$39&lt;$B$91,B$39&gt;$B$92),"N/A - camber fora da faixa",IF(OR(B$25&lt;$B$93,B$25&gt;$B$94),"N/A - κ fora da faixa","OK")))))))</f>
        <v/>
      </c>
      <c r="C26" s="38">
        <f>IF(NOT(AND(ISNUMBER(C$22),ISNUMBER(C$23),ISNUMBER(C$24),ISNUMBER(C$25))),"N/A - entrada ausente",IF($B$17&lt;&gt;"OK","N/A - dataset inválido",IF(C$22&lt;=0,"N/A - Fz&lt;=0 (liftoff)",IF(OR(C$22&lt;$B$87,C$22&gt;$B$88),"N/A - Fz fora da faixa",IF(OR(C$38&lt;$B$89,C$38&gt;$B$90),"N/A - α fora da faixa",IF(OR(C$39&lt;$B$91,C$39&gt;$B$92),"N/A - camber fora da faixa",IF(OR(C$25&lt;$B$93,C$25&gt;$B$94),"N/A - κ fora da faixa","OK")))))))</f>
        <v/>
      </c>
      <c r="D26" s="38">
        <f>IF(NOT(AND(ISNUMBER(D$22),ISNUMBER(D$23),ISNUMBER(D$24),ISNUMBER(D$25))),"N/A - entrada ausente",IF($B$17&lt;&gt;"OK","N/A - dataset inválido",IF(D$22&lt;=0,"N/A - Fz&lt;=0 (liftoff)",IF(OR(D$22&lt;$B$87,D$22&gt;$B$88),"N/A - Fz fora da faixa",IF(OR(D$38&lt;$B$89,D$38&gt;$B$90),"N/A - α fora da faixa",IF(OR(D$39&lt;$B$91,D$39&gt;$B$92),"N/A - camber fora da faixa",IF(OR(D$25&lt;$B$93,D$25&gt;$B$94),"N/A - κ fora da faixa","OK")))))))</f>
        <v/>
      </c>
      <c r="E26" s="38">
        <f>IF(NOT(AND(ISNUMBER(E$22),ISNUMBER(E$23),ISNUMBER(E$24),ISNUMBER(E$25))),"N/A - entrada ausente",IF($B$17&lt;&gt;"OK","N/A - dataset inválido",IF(E$22&lt;=0,"N/A - Fz&lt;=0 (liftoff)",IF(OR(E$22&lt;$B$87,E$22&gt;$B$88),"N/A - Fz fora da faixa",IF(OR(E$38&lt;$B$89,E$38&gt;$B$90),"N/A - α fora da faixa",IF(OR(E$39&lt;$B$91,E$39&gt;$B$92),"N/A - camber fora da faixa",IF(OR(E$25&lt;$B$93,E$25&gt;$B$94),"N/A - κ fora da faixa","OK")))))))</f>
        <v/>
      </c>
      <c r="F26" s="38">
        <f>IF(NOT(AND(ISNUMBER(F$22),ISNUMBER(F$23),ISNUMBER(F$24),ISNUMBER(F$25))),"N/A - entrada ausente",IF($B$17&lt;&gt;"OK","N/A - dataset inválido",IF(F$22&lt;=0,"N/A - Fz&lt;=0 (liftoff)",IF(OR(F$22&lt;$B$87,F$22&gt;$B$88),"N/A - Fz fora da faixa",IF(OR(F$38&lt;$B$89,F$38&gt;$B$90),"N/A - α fora da faixa",IF(OR(F$39&lt;$B$91,F$39&gt;$B$92),"N/A - camber fora da faixa",IF(OR(F$25&lt;$B$93,F$25&gt;$B$94),"N/A - κ fora da faixa","OK")))))))</f>
        <v/>
      </c>
      <c r="I26" s="39" t="inlineStr">
        <is>
          <t>Sem extrapolação: fora da faixa do dataset (FZMIN/FZMAX, α, γ, κ) o resultado é N/A, não um valor extrapolado. Fz≤0 = perda de contato.</t>
        </is>
      </c>
    </row>
    <row r="28">
      <c r="A28" s="28" t="inlineStr">
        <is>
          <t>Resultados — SUS-501 (Fy), SUS-502 (Fx), SUS-503 (μ efetivo) — convenção do PROJETO</t>
        </is>
      </c>
    </row>
    <row r="29">
      <c r="A29" s="4" t="inlineStr">
        <is>
          <t>Fx combinado (SUS-502) = Gxα·Fx0</t>
        </is>
      </c>
      <c r="B29" s="40">
        <f>IF(B$26&lt;&gt;"OK","N/A",B$74*B$52)</f>
        <v/>
      </c>
      <c r="C29" s="40">
        <f>IF(C$26&lt;&gt;"OK","N/A",C$74*C$52)</f>
        <v/>
      </c>
      <c r="D29" s="40">
        <f>IF(D$26&lt;&gt;"OK","N/A",D$74*D$52)</f>
        <v/>
      </c>
      <c r="E29" s="40">
        <f>IF(E$26&lt;&gt;"OK","N/A",E$74*E$52)</f>
        <v/>
      </c>
      <c r="F29" s="40">
        <f>IF(F$26&lt;&gt;"OK","N/A",F$74*F$52)</f>
        <v/>
      </c>
      <c r="G29" s="10" t="inlineStr">
        <is>
          <t>N</t>
        </is>
      </c>
      <c r="H29" s="10" t="inlineStr">
        <is>
          <t>SUS-502</t>
        </is>
      </c>
      <c r="I29" s="2" t="inlineStr">
        <is>
          <t>Referencial do dataset (idêntico nos dois lados). + = força para frente (κ&gt;0).</t>
        </is>
      </c>
    </row>
    <row r="30">
      <c r="A30" s="4" t="inlineStr">
        <is>
          <t>Fy combinado (SUS-501), convenção do projeto</t>
        </is>
      </c>
      <c r="B30" s="40">
        <f>IF(B$26&lt;&gt;"OK","N/A",B$35*$B$13*(B$81*B$65+B$83))</f>
        <v/>
      </c>
      <c r="C30" s="40">
        <f>IF(C$26&lt;&gt;"OK","N/A",C$35*$B$13*(C$81*C$65+C$83))</f>
        <v/>
      </c>
      <c r="D30" s="40">
        <f>IF(D$26&lt;&gt;"OK","N/A",D$35*$B$13*(D$81*D$65+D$83))</f>
        <v/>
      </c>
      <c r="E30" s="40">
        <f>IF(E$26&lt;&gt;"OK","N/A",E$35*$B$13*(E$81*E$65+E$83))</f>
        <v/>
      </c>
      <c r="F30" s="40">
        <f>IF(F$26&lt;&gt;"OK","N/A",F$35*$B$13*(F$81*F$65+F$83))</f>
        <v/>
      </c>
      <c r="G30" s="10" t="inlineStr">
        <is>
          <t>N</t>
        </is>
      </c>
      <c r="H30" s="10" t="inlineStr">
        <is>
          <t>SUS-501</t>
        </is>
      </c>
      <c r="I30" s="2" t="inlineStr">
        <is>
          <t>Fy_ISO = espelhamento · s_Fy · Fy_arquivo. Em curva à esquerda (α&lt;0 ISO) Fy&gt;0 = para a esquerda.</t>
        </is>
      </c>
    </row>
    <row r="31">
      <c r="A31" s="4" t="inlineStr">
        <is>
          <t>μ efetivo (SUS-503) = √(Fx²+Fy²)/Fz</t>
        </is>
      </c>
      <c r="B31" s="40">
        <f>IF(B$26&lt;&gt;"OK","N/A",SQRT(B$29^2+B$30^2)/B$22)</f>
        <v/>
      </c>
      <c r="C31" s="40">
        <f>IF(C$26&lt;&gt;"OK","N/A",SQRT(C$29^2+C$30^2)/C$22)</f>
        <v/>
      </c>
      <c r="D31" s="40">
        <f>IF(D$26&lt;&gt;"OK","N/A",SQRT(D$29^2+D$30^2)/D$22)</f>
        <v/>
      </c>
      <c r="E31" s="40">
        <f>IF(E$26&lt;&gt;"OK","N/A",SQRT(E$29^2+E$30^2)/E$22)</f>
        <v/>
      </c>
      <c r="F31" s="40">
        <f>IF(F$26&lt;&gt;"OK","N/A",SQRT(F$29^2+F$30^2)/F$22)</f>
        <v/>
      </c>
      <c r="G31" s="10" t="inlineStr">
        <is>
          <t>-</t>
        </is>
      </c>
      <c r="H31" s="10" t="inlineStr">
        <is>
          <t>SUS-503</t>
        </is>
      </c>
      <c r="I31" s="2" t="inlineStr">
        <is>
          <t>μ DERIVADO do dataset provisório — não é medição da equipe nem do carro.</t>
        </is>
      </c>
    </row>
    <row r="32">
      <c r="A32" s="4" t="inlineStr">
        <is>
          <t>Fy no referencial do arquivo (pneu Right, sem conversão)</t>
        </is>
      </c>
      <c r="B32" s="21">
        <f>IF(B$26&lt;&gt;"OK","N/A",B$81*B$65+B$83)</f>
        <v/>
      </c>
      <c r="C32" s="21">
        <f>IF(C$26&lt;&gt;"OK","N/A",C$81*C$65+C$83)</f>
        <v/>
      </c>
      <c r="D32" s="21">
        <f>IF(D$26&lt;&gt;"OK","N/A",D$81*D$65+D$83)</f>
        <v/>
      </c>
      <c r="E32" s="21">
        <f>IF(E$26&lt;&gt;"OK","N/A",E$81*E$65+E$83)</f>
        <v/>
      </c>
      <c r="F32" s="21">
        <f>IF(F$26&lt;&gt;"OK","N/A",F$81*F$65+F$83)</f>
        <v/>
      </c>
      <c r="G32" s="10" t="inlineStr">
        <is>
          <t>N</t>
        </is>
      </c>
      <c r="H32" s="10" t="inlineStr">
        <is>
          <t>SUS-501</t>
        </is>
      </c>
    </row>
    <row r="34">
      <c r="A34" s="28" t="inlineStr">
        <is>
          <t>Cálculo — conversões e carga normalizada</t>
        </is>
      </c>
    </row>
    <row r="35">
      <c r="A35" s="4" t="inlineStr">
        <is>
          <t>Fator de espelhamento do lado (L=−1, R=+1)</t>
        </is>
      </c>
      <c r="B35" s="41">
        <f>IF(B$21="L",-1,1)</f>
        <v/>
      </c>
      <c r="C35" s="41">
        <f>IF(C$21="L",-1,1)</f>
        <v/>
      </c>
      <c r="D35" s="41">
        <f>IF(D$21="L",-1,1)</f>
        <v/>
      </c>
      <c r="E35" s="41">
        <f>IF(E$21="L",-1,1)</f>
        <v/>
      </c>
      <c r="F35" s="41">
        <f>IF(F$21="L",-1,1)</f>
        <v/>
      </c>
      <c r="G35" s="10" t="inlineStr">
        <is>
          <t>-</t>
        </is>
      </c>
      <c r="H35" s="10" t="inlineStr">
        <is>
          <t>H4</t>
        </is>
      </c>
    </row>
    <row r="36">
      <c r="A36" s="4" t="inlineStr">
        <is>
          <t>α [rad]</t>
        </is>
      </c>
      <c r="B36" s="21">
        <f>IF(ISNUMBER(B$23),RADIANS(B$23),"N/A")</f>
        <v/>
      </c>
      <c r="C36" s="21">
        <f>IF(ISNUMBER(C$23),RADIANS(C$23),"N/A")</f>
        <v/>
      </c>
      <c r="D36" s="21">
        <f>IF(ISNUMBER(D$23),RADIANS(D$23),"N/A")</f>
        <v/>
      </c>
      <c r="E36" s="21">
        <f>IF(ISNUMBER(E$23),RADIANS(E$23),"N/A")</f>
        <v/>
      </c>
      <c r="F36" s="21">
        <f>IF(ISNUMBER(F$23),RADIANS(F$23),"N/A")</f>
        <v/>
      </c>
      <c r="G36" s="10" t="inlineStr">
        <is>
          <t>rad</t>
        </is>
      </c>
      <c r="H36" s="10" t="inlineStr">
        <is>
          <t>SUS-501</t>
        </is>
      </c>
    </row>
    <row r="37">
      <c r="A37" s="4" t="inlineStr">
        <is>
          <t>γ [rad]</t>
        </is>
      </c>
      <c r="B37" s="21">
        <f>IF(ISNUMBER(B$24),RADIANS(B$24),"N/A")</f>
        <v/>
      </c>
      <c r="C37" s="21">
        <f>IF(ISNUMBER(C$24),RADIANS(C$24),"N/A")</f>
        <v/>
      </c>
      <c r="D37" s="21">
        <f>IF(ISNUMBER(D$24),RADIANS(D$24),"N/A")</f>
        <v/>
      </c>
      <c r="E37" s="21">
        <f>IF(ISNUMBER(E$24),RADIANS(E$24),"N/A")</f>
        <v/>
      </c>
      <c r="F37" s="21">
        <f>IF(ISNUMBER(F$24),RADIANS(F$24),"N/A")</f>
        <v/>
      </c>
      <c r="G37" s="10" t="inlineStr">
        <is>
          <t>rad</t>
        </is>
      </c>
      <c r="H37" s="10" t="inlineStr">
        <is>
          <t>SUS-501</t>
        </is>
      </c>
    </row>
    <row r="38">
      <c r="A38" s="4" t="inlineStr">
        <is>
          <t>α no referencial do arquivo [rad] = s_α · espelhamento · α</t>
        </is>
      </c>
      <c r="B38" s="21">
        <f>IF(AND(ISNUMBER(B$36),ISNUMBER($B$12)),$B$12*B$35*B$36,"N/A")</f>
        <v/>
      </c>
      <c r="C38" s="21">
        <f>IF(AND(ISNUMBER(C$36),ISNUMBER($B$12)),$B$12*C$35*C$36,"N/A")</f>
        <v/>
      </c>
      <c r="D38" s="21">
        <f>IF(AND(ISNUMBER(D$36),ISNUMBER($B$12)),$B$12*D$35*D$36,"N/A")</f>
        <v/>
      </c>
      <c r="E38" s="21">
        <f>IF(AND(ISNUMBER(E$36),ISNUMBER($B$12)),$B$12*E$35*E$36,"N/A")</f>
        <v/>
      </c>
      <c r="F38" s="21">
        <f>IF(AND(ISNUMBER(F$36),ISNUMBER($B$12)),$B$12*F$35*F$36,"N/A")</f>
        <v/>
      </c>
      <c r="G38" s="10" t="inlineStr">
        <is>
          <t>rad</t>
        </is>
      </c>
      <c r="H38" s="10" t="inlineStr">
        <is>
          <t>H3b/H4</t>
        </is>
      </c>
    </row>
    <row r="39">
      <c r="A39" s="4" t="inlineStr">
        <is>
          <t>γ no referencial do arquivo [rad] = s_γ · γ</t>
        </is>
      </c>
      <c r="B39" s="21">
        <f>IF(AND(ISNUMBER(B$37),ISNUMBER($B$14)),$B$14*B$37,"N/A")</f>
        <v/>
      </c>
      <c r="C39" s="21">
        <f>IF(AND(ISNUMBER(C$37),ISNUMBER($B$14)),$B$14*C$37,"N/A")</f>
        <v/>
      </c>
      <c r="D39" s="21">
        <f>IF(AND(ISNUMBER(D$37),ISNUMBER($B$14)),$B$14*D$37,"N/A")</f>
        <v/>
      </c>
      <c r="E39" s="21">
        <f>IF(AND(ISNUMBER(E$37),ISNUMBER($B$14)),$B$14*E$37,"N/A")</f>
        <v/>
      </c>
      <c r="F39" s="21">
        <f>IF(AND(ISNUMBER(F$37),ISNUMBER($B$14)),$B$14*F$37,"N/A")</f>
        <v/>
      </c>
      <c r="G39" s="10" t="inlineStr">
        <is>
          <t>rad</t>
        </is>
      </c>
      <c r="H39" s="10" t="inlineStr">
        <is>
          <t>H3b</t>
        </is>
      </c>
    </row>
    <row r="40">
      <c r="A40" s="4" t="inlineStr">
        <is>
          <t>dfz = (Fz − LFZO·FNOMIN)/(LFZO·FNOMIN)</t>
        </is>
      </c>
      <c r="B40" s="21">
        <f>IF(B$26&lt;&gt;"OK","N/A",(B$22-$B$97*$B$86)/($B$97*$B$86))</f>
        <v/>
      </c>
      <c r="C40" s="21">
        <f>IF(C$26&lt;&gt;"OK","N/A",(C$22-$B$97*$B$86)/($B$97*$B$86))</f>
        <v/>
      </c>
      <c r="D40" s="21">
        <f>IF(D$26&lt;&gt;"OK","N/A",(D$22-$B$97*$B$86)/($B$97*$B$86))</f>
        <v/>
      </c>
      <c r="E40" s="21">
        <f>IF(E$26&lt;&gt;"OK","N/A",(E$22-$B$97*$B$86)/($B$97*$B$86))</f>
        <v/>
      </c>
      <c r="F40" s="21">
        <f>IF(F$26&lt;&gt;"OK","N/A",(F$22-$B$97*$B$86)/($B$97*$B$86))</f>
        <v/>
      </c>
      <c r="G40" s="10" t="inlineStr">
        <is>
          <t>-</t>
        </is>
      </c>
      <c r="H40" s="10" t="inlineStr">
        <is>
          <t>SUS-501</t>
        </is>
      </c>
    </row>
    <row r="42">
      <c r="A42" s="28" t="inlineStr">
        <is>
          <t>Cálculo — Fx puro (Fx0), forma PAC2002/MF 5.2</t>
        </is>
      </c>
    </row>
    <row r="43">
      <c r="A43" s="4" t="inlineStr">
        <is>
          <t>SHx = (PHX1+PHX2·dfz)·LHX</t>
        </is>
      </c>
      <c r="B43" s="21">
        <f>IF(B$26&lt;&gt;"OK","N/A",($B$126+$B$127*B$40)*$B$102)</f>
        <v/>
      </c>
      <c r="C43" s="21">
        <f>IF(C$26&lt;&gt;"OK","N/A",($B$126+$B$127*C$40)*$B$102)</f>
        <v/>
      </c>
      <c r="D43" s="21">
        <f>IF(D$26&lt;&gt;"OK","N/A",($B$126+$B$127*D$40)*$B$102)</f>
        <v/>
      </c>
      <c r="E43" s="21">
        <f>IF(E$26&lt;&gt;"OK","N/A",($B$126+$B$127*E$40)*$B$102)</f>
        <v/>
      </c>
      <c r="F43" s="21">
        <f>IF(F$26&lt;&gt;"OK","N/A",($B$126+$B$127*F$40)*$B$102)</f>
        <v/>
      </c>
      <c r="G43" s="10" t="inlineStr">
        <is>
          <t>-</t>
        </is>
      </c>
      <c r="H43" s="10" t="inlineStr">
        <is>
          <t>SUS-502</t>
        </is>
      </c>
    </row>
    <row r="44">
      <c r="A44" s="4" t="inlineStr">
        <is>
          <t>κx = κ + SHx</t>
        </is>
      </c>
      <c r="B44" s="21">
        <f>IF(B$26&lt;&gt;"OK","N/A",B$25+B$43)</f>
        <v/>
      </c>
      <c r="C44" s="21">
        <f>IF(C$26&lt;&gt;"OK","N/A",C$25+C$43)</f>
        <v/>
      </c>
      <c r="D44" s="21">
        <f>IF(D$26&lt;&gt;"OK","N/A",D$25+D$43)</f>
        <v/>
      </c>
      <c r="E44" s="21">
        <f>IF(E$26&lt;&gt;"OK","N/A",E$25+E$43)</f>
        <v/>
      </c>
      <c r="F44" s="21">
        <f>IF(F$26&lt;&gt;"OK","N/A",F$25+F$43)</f>
        <v/>
      </c>
      <c r="G44" s="10" t="inlineStr">
        <is>
          <t>-</t>
        </is>
      </c>
      <c r="H44" s="10" t="inlineStr">
        <is>
          <t>SUS-502</t>
        </is>
      </c>
    </row>
    <row r="45">
      <c r="A45" s="4" t="inlineStr">
        <is>
          <t>Cx = PCX1·LCX</t>
        </is>
      </c>
      <c r="B45" s="21">
        <f>IF(B$26&lt;&gt;"OK","N/A",$B$115*$B$98)</f>
        <v/>
      </c>
      <c r="C45" s="21">
        <f>IF(C$26&lt;&gt;"OK","N/A",$B$115*$B$98)</f>
        <v/>
      </c>
      <c r="D45" s="21">
        <f>IF(D$26&lt;&gt;"OK","N/A",$B$115*$B$98)</f>
        <v/>
      </c>
      <c r="E45" s="21">
        <f>IF(E$26&lt;&gt;"OK","N/A",$B$115*$B$98)</f>
        <v/>
      </c>
      <c r="F45" s="21">
        <f>IF(F$26&lt;&gt;"OK","N/A",$B$115*$B$98)</f>
        <v/>
      </c>
      <c r="G45" s="10" t="inlineStr">
        <is>
          <t>-</t>
        </is>
      </c>
      <c r="H45" s="10" t="inlineStr">
        <is>
          <t>SUS-502</t>
        </is>
      </c>
    </row>
    <row r="46">
      <c r="A46" s="4" t="inlineStr">
        <is>
          <t>μx = (PDX1+PDX2·dfz)·(1−PDX3·(γ·LGAX)²)·LMUX</t>
        </is>
      </c>
      <c r="B46" s="21">
        <f>IF(B$26&lt;&gt;"OK","N/A",($B$116+$B$117*B$40)*(1-$B$118*(B$39*$B$104)^2)*$B$99)</f>
        <v/>
      </c>
      <c r="C46" s="21">
        <f>IF(C$26&lt;&gt;"OK","N/A",($B$116+$B$117*C$40)*(1-$B$118*(C$39*$B$104)^2)*$B$99)</f>
        <v/>
      </c>
      <c r="D46" s="21">
        <f>IF(D$26&lt;&gt;"OK","N/A",($B$116+$B$117*D$40)*(1-$B$118*(D$39*$B$104)^2)*$B$99)</f>
        <v/>
      </c>
      <c r="E46" s="21">
        <f>IF(E$26&lt;&gt;"OK","N/A",($B$116+$B$117*E$40)*(1-$B$118*(E$39*$B$104)^2)*$B$99)</f>
        <v/>
      </c>
      <c r="F46" s="21">
        <f>IF(F$26&lt;&gt;"OK","N/A",($B$116+$B$117*F$40)*(1-$B$118*(F$39*$B$104)^2)*$B$99)</f>
        <v/>
      </c>
      <c r="G46" s="10" t="inlineStr">
        <is>
          <t>-</t>
        </is>
      </c>
      <c r="H46" s="10" t="inlineStr">
        <is>
          <t>SUS-502</t>
        </is>
      </c>
    </row>
    <row r="47">
      <c r="A47" s="4" t="inlineStr">
        <is>
          <t>Dx = μx·Fz</t>
        </is>
      </c>
      <c r="B47" s="21">
        <f>IF(B$26&lt;&gt;"OK","N/A",B$46*B$22)</f>
        <v/>
      </c>
      <c r="C47" s="21">
        <f>IF(C$26&lt;&gt;"OK","N/A",C$46*C$22)</f>
        <v/>
      </c>
      <c r="D47" s="21">
        <f>IF(D$26&lt;&gt;"OK","N/A",D$46*D$22)</f>
        <v/>
      </c>
      <c r="E47" s="21">
        <f>IF(E$26&lt;&gt;"OK","N/A",E$46*E$22)</f>
        <v/>
      </c>
      <c r="F47" s="21">
        <f>IF(F$26&lt;&gt;"OK","N/A",F$46*F$22)</f>
        <v/>
      </c>
      <c r="G47" s="10" t="inlineStr">
        <is>
          <t>N</t>
        </is>
      </c>
      <c r="H47" s="10" t="inlineStr">
        <is>
          <t>SUS-502</t>
        </is>
      </c>
    </row>
    <row r="48">
      <c r="A48" s="4" t="inlineStr">
        <is>
          <t>Ex = min(1; (PEX1+PEX2·dfz+PEX3·dfz²)·(1−PEX4·sgn κx)·LEX)</t>
        </is>
      </c>
      <c r="B48" s="21">
        <f>IF(B$26&lt;&gt;"OK","N/A",MIN(1,($B$119+$B$120*B$40+$B$121*B$40^2)*(1-$B$122*SIGN(B$44))*$B$100))</f>
        <v/>
      </c>
      <c r="C48" s="21">
        <f>IF(C$26&lt;&gt;"OK","N/A",MIN(1,($B$119+$B$120*C$40+$B$121*C$40^2)*(1-$B$122*SIGN(C$44))*$B$100))</f>
        <v/>
      </c>
      <c r="D48" s="21">
        <f>IF(D$26&lt;&gt;"OK","N/A",MIN(1,($B$119+$B$120*D$40+$B$121*D$40^2)*(1-$B$122*SIGN(D$44))*$B$100))</f>
        <v/>
      </c>
      <c r="E48" s="21">
        <f>IF(E$26&lt;&gt;"OK","N/A",MIN(1,($B$119+$B$120*E$40+$B$121*E$40^2)*(1-$B$122*SIGN(E$44))*$B$100))</f>
        <v/>
      </c>
      <c r="F48" s="21">
        <f>IF(F$26&lt;&gt;"OK","N/A",MIN(1,($B$119+$B$120*F$40+$B$121*F$40^2)*(1-$B$122*SIGN(F$44))*$B$100))</f>
        <v/>
      </c>
      <c r="G48" s="10" t="inlineStr">
        <is>
          <t>-</t>
        </is>
      </c>
      <c r="H48" s="10" t="inlineStr">
        <is>
          <t>SUS-502</t>
        </is>
      </c>
    </row>
    <row r="49">
      <c r="A49" s="4" t="inlineStr">
        <is>
          <t>Kx = Fz·(PKX1+PKX2·dfz)·exp(PKX3·dfz)·LKX</t>
        </is>
      </c>
      <c r="B49" s="21">
        <f>IF(B$26&lt;&gt;"OK","N/A",B$22*($B$123+$B$124*B$40)*EXP($B$125*B$40)*$B$101)</f>
        <v/>
      </c>
      <c r="C49" s="21">
        <f>IF(C$26&lt;&gt;"OK","N/A",C$22*($B$123+$B$124*C$40)*EXP($B$125*C$40)*$B$101)</f>
        <v/>
      </c>
      <c r="D49" s="21">
        <f>IF(D$26&lt;&gt;"OK","N/A",D$22*($B$123+$B$124*D$40)*EXP($B$125*D$40)*$B$101)</f>
        <v/>
      </c>
      <c r="E49" s="21">
        <f>IF(E$26&lt;&gt;"OK","N/A",E$22*($B$123+$B$124*E$40)*EXP($B$125*E$40)*$B$101)</f>
        <v/>
      </c>
      <c r="F49" s="21">
        <f>IF(F$26&lt;&gt;"OK","N/A",F$22*($B$123+$B$124*F$40)*EXP($B$125*F$40)*$B$101)</f>
        <v/>
      </c>
      <c r="G49" s="10" t="inlineStr">
        <is>
          <t>N</t>
        </is>
      </c>
      <c r="H49" s="10" t="inlineStr">
        <is>
          <t>SUS-502</t>
        </is>
      </c>
    </row>
    <row r="50">
      <c r="A50" s="4" t="inlineStr">
        <is>
          <t>Bx = Kx/(Cx·Dx+ε)</t>
        </is>
      </c>
      <c r="B50" s="21">
        <f>IF(B$26&lt;&gt;"OK","N/A",B$49/(B$45*B$47+$B$176))</f>
        <v/>
      </c>
      <c r="C50" s="21">
        <f>IF(C$26&lt;&gt;"OK","N/A",C$49/(C$45*C$47+$B$176))</f>
        <v/>
      </c>
      <c r="D50" s="21">
        <f>IF(D$26&lt;&gt;"OK","N/A",D$49/(D$45*D$47+$B$176))</f>
        <v/>
      </c>
      <c r="E50" s="21">
        <f>IF(E$26&lt;&gt;"OK","N/A",E$49/(E$45*E$47+$B$176))</f>
        <v/>
      </c>
      <c r="F50" s="21">
        <f>IF(F$26&lt;&gt;"OK","N/A",F$49/(F$45*F$47+$B$176))</f>
        <v/>
      </c>
      <c r="G50" s="10" t="inlineStr">
        <is>
          <t>-</t>
        </is>
      </c>
      <c r="H50" s="10" t="inlineStr">
        <is>
          <t>SUS-502</t>
        </is>
      </c>
    </row>
    <row r="51">
      <c r="A51" s="4" t="inlineStr">
        <is>
          <t>SVx = Fz·(PVX1+PVX2·dfz)·LVX·LMUX</t>
        </is>
      </c>
      <c r="B51" s="21">
        <f>IF(B$26&lt;&gt;"OK","N/A",B$22*($B$128+$B$129*B$40)*$B$103*$B$99)</f>
        <v/>
      </c>
      <c r="C51" s="21">
        <f>IF(C$26&lt;&gt;"OK","N/A",C$22*($B$128+$B$129*C$40)*$B$103*$B$99)</f>
        <v/>
      </c>
      <c r="D51" s="21">
        <f>IF(D$26&lt;&gt;"OK","N/A",D$22*($B$128+$B$129*D$40)*$B$103*$B$99)</f>
        <v/>
      </c>
      <c r="E51" s="21">
        <f>IF(E$26&lt;&gt;"OK","N/A",E$22*($B$128+$B$129*E$40)*$B$103*$B$99)</f>
        <v/>
      </c>
      <c r="F51" s="21">
        <f>IF(F$26&lt;&gt;"OK","N/A",F$22*($B$128+$B$129*F$40)*$B$103*$B$99)</f>
        <v/>
      </c>
      <c r="G51" s="10" t="inlineStr">
        <is>
          <t>N</t>
        </is>
      </c>
      <c r="H51" s="10" t="inlineStr">
        <is>
          <t>SUS-502</t>
        </is>
      </c>
    </row>
    <row r="52">
      <c r="A52" s="4" t="inlineStr">
        <is>
          <t>Fx0 = Dx·sin(Cx·atan(Bx·κx − Ex·(Bx·κx − atan(Bx·κx)))) + SVx</t>
        </is>
      </c>
      <c r="B52" s="21">
        <f>IF(B$26&lt;&gt;"OK","N/A",B$47*SIN(B$45*ATAN(B$50*B$44-B$48*(B$50*B$44-ATAN(B$50*B$44))))+B$51)</f>
        <v/>
      </c>
      <c r="C52" s="21">
        <f>IF(C$26&lt;&gt;"OK","N/A",C$47*SIN(C$45*ATAN(C$50*C$44-C$48*(C$50*C$44-ATAN(C$50*C$44))))+C$51)</f>
        <v/>
      </c>
      <c r="D52" s="21">
        <f>IF(D$26&lt;&gt;"OK","N/A",D$47*SIN(D$45*ATAN(D$50*D$44-D$48*(D$50*D$44-ATAN(D$50*D$44))))+D$51)</f>
        <v/>
      </c>
      <c r="E52" s="21">
        <f>IF(E$26&lt;&gt;"OK","N/A",E$47*SIN(E$45*ATAN(E$50*E$44-E$48*(E$50*E$44-ATAN(E$50*E$44))))+E$51)</f>
        <v/>
      </c>
      <c r="F52" s="21">
        <f>IF(F$26&lt;&gt;"OK","N/A",F$47*SIN(F$45*ATAN(F$50*F$44-F$48*(F$50*F$44-ATAN(F$50*F$44))))+F$51)</f>
        <v/>
      </c>
      <c r="G52" s="10" t="inlineStr">
        <is>
          <t>N</t>
        </is>
      </c>
      <c r="H52" s="10" t="inlineStr">
        <is>
          <t>SUS-502</t>
        </is>
      </c>
    </row>
    <row r="54">
      <c r="A54" s="28" t="inlineStr">
        <is>
          <t>Cálculo — Fy puro (Fy0)</t>
        </is>
      </c>
    </row>
    <row r="55">
      <c r="A55" s="4" t="inlineStr">
        <is>
          <t>γy = γ·LGAY</t>
        </is>
      </c>
      <c r="B55" s="21">
        <f>IF(B$26&lt;&gt;"OK","N/A",B$39*$B$111)</f>
        <v/>
      </c>
      <c r="C55" s="21">
        <f>IF(C$26&lt;&gt;"OK","N/A",C$39*$B$111)</f>
        <v/>
      </c>
      <c r="D55" s="21">
        <f>IF(D$26&lt;&gt;"OK","N/A",D$39*$B$111)</f>
        <v/>
      </c>
      <c r="E55" s="21">
        <f>IF(E$26&lt;&gt;"OK","N/A",E$39*$B$111)</f>
        <v/>
      </c>
      <c r="F55" s="21">
        <f>IF(F$26&lt;&gt;"OK","N/A",F$39*$B$111)</f>
        <v/>
      </c>
      <c r="G55" s="10" t="inlineStr">
        <is>
          <t>rad</t>
        </is>
      </c>
      <c r="H55" s="10" t="inlineStr">
        <is>
          <t>SUS-501</t>
        </is>
      </c>
    </row>
    <row r="56">
      <c r="A56" s="4" t="inlineStr">
        <is>
          <t>Ky = PKY1·F'z0·sin(2·atan(Fz/(PKY2·F'z0)))·(1−PKY3·|γy|)·LKY  (um λFz0, EDR-049)</t>
        </is>
      </c>
      <c r="B56" s="21">
        <f>IF(B$26&lt;&gt;"OK","N/A",$B$144*($B$97*$B$86)*SIN(2*ATAN(B$22/($B$145*$B$97*$B$86)))*(1-$B$146*ABS(B$55))*$B$108)</f>
        <v/>
      </c>
      <c r="C56" s="21">
        <f>IF(C$26&lt;&gt;"OK","N/A",$B$144*($B$97*$B$86)*SIN(2*ATAN(C$22/($B$145*$B$97*$B$86)))*(1-$B$146*ABS(C$55))*$B$108)</f>
        <v/>
      </c>
      <c r="D56" s="21">
        <f>IF(D$26&lt;&gt;"OK","N/A",$B$144*($B$97*$B$86)*SIN(2*ATAN(D$22/($B$145*$B$97*$B$86)))*(1-$B$146*ABS(D$55))*$B$108)</f>
        <v/>
      </c>
      <c r="E56" s="21">
        <f>IF(E$26&lt;&gt;"OK","N/A",$B$144*($B$97*$B$86)*SIN(2*ATAN(E$22/($B$145*$B$97*$B$86)))*(1-$B$146*ABS(E$55))*$B$108)</f>
        <v/>
      </c>
      <c r="F56" s="21">
        <f>IF(F$26&lt;&gt;"OK","N/A",$B$144*($B$97*$B$86)*SIN(2*ATAN(F$22/($B$145*$B$97*$B$86)))*(1-$B$146*ABS(F$55))*$B$108)</f>
        <v/>
      </c>
      <c r="G56" s="10" t="inlineStr">
        <is>
          <t>N/rad</t>
        </is>
      </c>
      <c r="H56" s="10" t="inlineStr">
        <is>
          <t>SUS-501</t>
        </is>
      </c>
    </row>
    <row r="57">
      <c r="A57" s="4" t="inlineStr">
        <is>
          <t>SHy = (PHY1+PHY2·dfz)·LHY + PHY3·γy</t>
        </is>
      </c>
      <c r="B57" s="21">
        <f>IF(B$26&lt;&gt;"OK","N/A",($B$147+$B$148*B$40)*$B$109+$B$149*B$55)</f>
        <v/>
      </c>
      <c r="C57" s="21">
        <f>IF(C$26&lt;&gt;"OK","N/A",($B$147+$B$148*C$40)*$B$109+$B$149*C$55)</f>
        <v/>
      </c>
      <c r="D57" s="21">
        <f>IF(D$26&lt;&gt;"OK","N/A",($B$147+$B$148*D$40)*$B$109+$B$149*D$55)</f>
        <v/>
      </c>
      <c r="E57" s="21">
        <f>IF(E$26&lt;&gt;"OK","N/A",($B$147+$B$148*E$40)*$B$109+$B$149*E$55)</f>
        <v/>
      </c>
      <c r="F57" s="21">
        <f>IF(F$26&lt;&gt;"OK","N/A",($B$147+$B$148*F$40)*$B$109+$B$149*F$55)</f>
        <v/>
      </c>
      <c r="G57" s="10" t="inlineStr">
        <is>
          <t>rad</t>
        </is>
      </c>
      <c r="H57" s="10" t="inlineStr">
        <is>
          <t>SUS-501</t>
        </is>
      </c>
    </row>
    <row r="58">
      <c r="A58" s="4" t="inlineStr">
        <is>
          <t>αy = α_eq + SHy</t>
        </is>
      </c>
      <c r="B58" s="21">
        <f>IF(B$26&lt;&gt;"OK","N/A",B$38+B$57)</f>
        <v/>
      </c>
      <c r="C58" s="21">
        <f>IF(C$26&lt;&gt;"OK","N/A",C$38+C$57)</f>
        <v/>
      </c>
      <c r="D58" s="21">
        <f>IF(D$26&lt;&gt;"OK","N/A",D$38+D$57)</f>
        <v/>
      </c>
      <c r="E58" s="21">
        <f>IF(E$26&lt;&gt;"OK","N/A",E$38+E$57)</f>
        <v/>
      </c>
      <c r="F58" s="21">
        <f>IF(F$26&lt;&gt;"OK","N/A",F$38+F$57)</f>
        <v/>
      </c>
      <c r="G58" s="10" t="inlineStr">
        <is>
          <t>rad</t>
        </is>
      </c>
      <c r="H58" s="10" t="inlineStr">
        <is>
          <t>SUS-501</t>
        </is>
      </c>
    </row>
    <row r="59">
      <c r="A59" s="4" t="inlineStr">
        <is>
          <t>Cy = PCY1·LCY</t>
        </is>
      </c>
      <c r="B59" s="21">
        <f>IF(B$26&lt;&gt;"OK","N/A",$B$136*$B$105)</f>
        <v/>
      </c>
      <c r="C59" s="21">
        <f>IF(C$26&lt;&gt;"OK","N/A",$B$136*$B$105)</f>
        <v/>
      </c>
      <c r="D59" s="21">
        <f>IF(D$26&lt;&gt;"OK","N/A",$B$136*$B$105)</f>
        <v/>
      </c>
      <c r="E59" s="21">
        <f>IF(E$26&lt;&gt;"OK","N/A",$B$136*$B$105)</f>
        <v/>
      </c>
      <c r="F59" s="21">
        <f>IF(F$26&lt;&gt;"OK","N/A",$B$136*$B$105)</f>
        <v/>
      </c>
      <c r="G59" s="10" t="inlineStr">
        <is>
          <t>-</t>
        </is>
      </c>
      <c r="H59" s="10" t="inlineStr">
        <is>
          <t>SUS-501</t>
        </is>
      </c>
    </row>
    <row r="60">
      <c r="A60" s="4" t="inlineStr">
        <is>
          <t>μy = (PDY1+PDY2·dfz)·(1−PDY3·γy²)·LMUY</t>
        </is>
      </c>
      <c r="B60" s="21">
        <f>IF(B$26&lt;&gt;"OK","N/A",($B$137+$B$138*B$40)*(1-$B$139*B$55^2)*$B$106)</f>
        <v/>
      </c>
      <c r="C60" s="21">
        <f>IF(C$26&lt;&gt;"OK","N/A",($B$137+$B$138*C$40)*(1-$B$139*C$55^2)*$B$106)</f>
        <v/>
      </c>
      <c r="D60" s="21">
        <f>IF(D$26&lt;&gt;"OK","N/A",($B$137+$B$138*D$40)*(1-$B$139*D$55^2)*$B$106)</f>
        <v/>
      </c>
      <c r="E60" s="21">
        <f>IF(E$26&lt;&gt;"OK","N/A",($B$137+$B$138*E$40)*(1-$B$139*E$55^2)*$B$106)</f>
        <v/>
      </c>
      <c r="F60" s="21">
        <f>IF(F$26&lt;&gt;"OK","N/A",($B$137+$B$138*F$40)*(1-$B$139*F$55^2)*$B$106)</f>
        <v/>
      </c>
      <c r="G60" s="10" t="inlineStr">
        <is>
          <t>-</t>
        </is>
      </c>
      <c r="H60" s="10" t="inlineStr">
        <is>
          <t>SUS-501</t>
        </is>
      </c>
    </row>
    <row r="61">
      <c r="A61" s="4" t="inlineStr">
        <is>
          <t>Dy = μy·Fz</t>
        </is>
      </c>
      <c r="B61" s="21">
        <f>IF(B$26&lt;&gt;"OK","N/A",B$60*B$22)</f>
        <v/>
      </c>
      <c r="C61" s="21">
        <f>IF(C$26&lt;&gt;"OK","N/A",C$60*C$22)</f>
        <v/>
      </c>
      <c r="D61" s="21">
        <f>IF(D$26&lt;&gt;"OK","N/A",D$60*D$22)</f>
        <v/>
      </c>
      <c r="E61" s="21">
        <f>IF(E$26&lt;&gt;"OK","N/A",E$60*E$22)</f>
        <v/>
      </c>
      <c r="F61" s="21">
        <f>IF(F$26&lt;&gt;"OK","N/A",F$60*F$22)</f>
        <v/>
      </c>
      <c r="G61" s="10" t="inlineStr">
        <is>
          <t>N</t>
        </is>
      </c>
      <c r="H61" s="10" t="inlineStr">
        <is>
          <t>SUS-501</t>
        </is>
      </c>
    </row>
    <row r="62">
      <c r="A62" s="4" t="inlineStr">
        <is>
          <t>Ey = min(1; (PEY1+PEY2·dfz)·(1−(PEY3+PEY4·γy)·sgn αy)·LEY)</t>
        </is>
      </c>
      <c r="B62" s="21">
        <f>IF(B$26&lt;&gt;"OK","N/A",MIN(1,($B$140+$B$141*B$40)*(1-($B$142+$B$143*B$55)*SIGN(B$58))*$B$107))</f>
        <v/>
      </c>
      <c r="C62" s="21">
        <f>IF(C$26&lt;&gt;"OK","N/A",MIN(1,($B$140+$B$141*C$40)*(1-($B$142+$B$143*C$55)*SIGN(C$58))*$B$107))</f>
        <v/>
      </c>
      <c r="D62" s="21">
        <f>IF(D$26&lt;&gt;"OK","N/A",MIN(1,($B$140+$B$141*D$40)*(1-($B$142+$B$143*D$55)*SIGN(D$58))*$B$107))</f>
        <v/>
      </c>
      <c r="E62" s="21">
        <f>IF(E$26&lt;&gt;"OK","N/A",MIN(1,($B$140+$B$141*E$40)*(1-($B$142+$B$143*E$55)*SIGN(E$58))*$B$107))</f>
        <v/>
      </c>
      <c r="F62" s="21">
        <f>IF(F$26&lt;&gt;"OK","N/A",MIN(1,($B$140+$B$141*F$40)*(1-($B$142+$B$143*F$55)*SIGN(F$58))*$B$107))</f>
        <v/>
      </c>
      <c r="G62" s="10" t="inlineStr">
        <is>
          <t>-</t>
        </is>
      </c>
      <c r="H62" s="10" t="inlineStr">
        <is>
          <t>SUS-501</t>
        </is>
      </c>
    </row>
    <row r="63">
      <c r="A63" s="4" t="inlineStr">
        <is>
          <t>By = Ky/(Cy·Dy+ε)</t>
        </is>
      </c>
      <c r="B63" s="21">
        <f>IF(B$26&lt;&gt;"OK","N/A",B$56/(B$59*B$61+$B$176))</f>
        <v/>
      </c>
      <c r="C63" s="21">
        <f>IF(C$26&lt;&gt;"OK","N/A",C$56/(C$59*C$61+$B$176))</f>
        <v/>
      </c>
      <c r="D63" s="21">
        <f>IF(D$26&lt;&gt;"OK","N/A",D$56/(D$59*D$61+$B$176))</f>
        <v/>
      </c>
      <c r="E63" s="21">
        <f>IF(E$26&lt;&gt;"OK","N/A",E$56/(E$59*E$61+$B$176))</f>
        <v/>
      </c>
      <c r="F63" s="21">
        <f>IF(F$26&lt;&gt;"OK","N/A",F$56/(F$59*F$61+$B$176))</f>
        <v/>
      </c>
      <c r="G63" s="10" t="inlineStr">
        <is>
          <t>1/rad</t>
        </is>
      </c>
      <c r="H63" s="10" t="inlineStr">
        <is>
          <t>SUS-501</t>
        </is>
      </c>
    </row>
    <row r="64">
      <c r="A64" s="4" t="inlineStr">
        <is>
          <t>SVy = Fz·((PVY1+PVY2·dfz)·LVY + (PVY3+PVY4·dfz)·γy)·LMUY</t>
        </is>
      </c>
      <c r="B64" s="21">
        <f>IF(B$26&lt;&gt;"OK","N/A",B$22*(($B$150+$B$151*B$40)*$B$110+($B$152+$B$153*B$40)*B$55)*$B$106)</f>
        <v/>
      </c>
      <c r="C64" s="21">
        <f>IF(C$26&lt;&gt;"OK","N/A",C$22*(($B$150+$B$151*C$40)*$B$110+($B$152+$B$153*C$40)*C$55)*$B$106)</f>
        <v/>
      </c>
      <c r="D64" s="21">
        <f>IF(D$26&lt;&gt;"OK","N/A",D$22*(($B$150+$B$151*D$40)*$B$110+($B$152+$B$153*D$40)*D$55)*$B$106)</f>
        <v/>
      </c>
      <c r="E64" s="21">
        <f>IF(E$26&lt;&gt;"OK","N/A",E$22*(($B$150+$B$151*E$40)*$B$110+($B$152+$B$153*E$40)*E$55)*$B$106)</f>
        <v/>
      </c>
      <c r="F64" s="21">
        <f>IF(F$26&lt;&gt;"OK","N/A",F$22*(($B$150+$B$151*F$40)*$B$110+($B$152+$B$153*F$40)*F$55)*$B$106)</f>
        <v/>
      </c>
      <c r="G64" s="10" t="inlineStr">
        <is>
          <t>N</t>
        </is>
      </c>
      <c r="H64" s="10" t="inlineStr">
        <is>
          <t>SUS-501</t>
        </is>
      </c>
    </row>
    <row r="65">
      <c r="A65" s="4" t="inlineStr">
        <is>
          <t>Fy0 = Dy·sin(Cy·atan(By·αy − Ey·(By·αy − atan(By·αy)))) + SVy</t>
        </is>
      </c>
      <c r="B65" s="21">
        <f>IF(B$26&lt;&gt;"OK","N/A",B$61*SIN(B$59*ATAN(B$63*B$58-B$62*(B$63*B$58-ATAN(B$63*B$58))))+B$64)</f>
        <v/>
      </c>
      <c r="C65" s="21">
        <f>IF(C$26&lt;&gt;"OK","N/A",C$61*SIN(C$59*ATAN(C$63*C$58-C$62*(C$63*C$58-ATAN(C$63*C$58))))+C$64)</f>
        <v/>
      </c>
      <c r="D65" s="21">
        <f>IF(D$26&lt;&gt;"OK","N/A",D$61*SIN(D$59*ATAN(D$63*D$58-D$62*(D$63*D$58-ATAN(D$63*D$58))))+D$64)</f>
        <v/>
      </c>
      <c r="E65" s="21">
        <f>IF(E$26&lt;&gt;"OK","N/A",E$61*SIN(E$59*ATAN(E$63*E$58-E$62*(E$63*E$58-ATAN(E$63*E$58))))+E$64)</f>
        <v/>
      </c>
      <c r="F65" s="21">
        <f>IF(F$26&lt;&gt;"OK","N/A",F$61*SIN(F$59*ATAN(F$63*F$58-F$62*(F$63*F$58-ATAN(F$63*F$58))))+F$64)</f>
        <v/>
      </c>
      <c r="G65" s="10" t="inlineStr">
        <is>
          <t>N</t>
        </is>
      </c>
      <c r="H65" s="10" t="inlineStr">
        <is>
          <t>SUS-501</t>
        </is>
      </c>
    </row>
    <row r="67">
      <c r="A67" s="28" t="inlineStr">
        <is>
          <t>Cálculo — combinação Fx×Fy (Gxα, Gyκ, SVyκ)</t>
        </is>
      </c>
    </row>
    <row r="68">
      <c r="A68" s="4" t="inlineStr">
        <is>
          <t>SHxα = RHX1</t>
        </is>
      </c>
      <c r="B68" s="21">
        <f>IF(B$26&lt;&gt;"OK","N/A",$B$135)</f>
        <v/>
      </c>
      <c r="C68" s="21">
        <f>IF(C$26&lt;&gt;"OK","N/A",$B$135)</f>
        <v/>
      </c>
      <c r="D68" s="21">
        <f>IF(D$26&lt;&gt;"OK","N/A",$B$135)</f>
        <v/>
      </c>
      <c r="E68" s="21">
        <f>IF(E$26&lt;&gt;"OK","N/A",$B$135)</f>
        <v/>
      </c>
      <c r="F68" s="21">
        <f>IF(F$26&lt;&gt;"OK","N/A",$B$135)</f>
        <v/>
      </c>
      <c r="G68" s="10" t="inlineStr">
        <is>
          <t>-</t>
        </is>
      </c>
      <c r="H68" s="10" t="inlineStr">
        <is>
          <t>SUS-502</t>
        </is>
      </c>
    </row>
    <row r="69">
      <c r="A69" s="4" t="inlineStr">
        <is>
          <t>Bxα = RBX1·cos(atan(RBX2·κ))·LXAL</t>
        </is>
      </c>
      <c r="B69" s="21">
        <f>IF(B$26&lt;&gt;"OK","N/A",$B$130*COS(ATAN($B$131*B$25))*$B$112)</f>
        <v/>
      </c>
      <c r="C69" s="21">
        <f>IF(C$26&lt;&gt;"OK","N/A",$B$130*COS(ATAN($B$131*C$25))*$B$112)</f>
        <v/>
      </c>
      <c r="D69" s="21">
        <f>IF(D$26&lt;&gt;"OK","N/A",$B$130*COS(ATAN($B$131*D$25))*$B$112)</f>
        <v/>
      </c>
      <c r="E69" s="21">
        <f>IF(E$26&lt;&gt;"OK","N/A",$B$130*COS(ATAN($B$131*E$25))*$B$112)</f>
        <v/>
      </c>
      <c r="F69" s="21">
        <f>IF(F$26&lt;&gt;"OK","N/A",$B$130*COS(ATAN($B$131*F$25))*$B$112)</f>
        <v/>
      </c>
      <c r="G69" s="10" t="inlineStr">
        <is>
          <t>-</t>
        </is>
      </c>
      <c r="H69" s="10" t="inlineStr">
        <is>
          <t>SUS-502</t>
        </is>
      </c>
    </row>
    <row r="70">
      <c r="A70" s="4" t="inlineStr">
        <is>
          <t>Cxα = RCX1</t>
        </is>
      </c>
      <c r="B70" s="21">
        <f>IF(B$26&lt;&gt;"OK","N/A",$B$132)</f>
        <v/>
      </c>
      <c r="C70" s="21">
        <f>IF(C$26&lt;&gt;"OK","N/A",$B$132)</f>
        <v/>
      </c>
      <c r="D70" s="21">
        <f>IF(D$26&lt;&gt;"OK","N/A",$B$132)</f>
        <v/>
      </c>
      <c r="E70" s="21">
        <f>IF(E$26&lt;&gt;"OK","N/A",$B$132)</f>
        <v/>
      </c>
      <c r="F70" s="21">
        <f>IF(F$26&lt;&gt;"OK","N/A",$B$132)</f>
        <v/>
      </c>
      <c r="G70" s="10" t="inlineStr">
        <is>
          <t>-</t>
        </is>
      </c>
      <c r="H70" s="10" t="inlineStr">
        <is>
          <t>SUS-502</t>
        </is>
      </c>
    </row>
    <row r="71">
      <c r="A71" s="4" t="inlineStr">
        <is>
          <t>Exα = min(1; REX1+REX2·dfz)</t>
        </is>
      </c>
      <c r="B71" s="21">
        <f>IF(B$26&lt;&gt;"OK","N/A",MIN(1,$B$133+$B$134*B$40))</f>
        <v/>
      </c>
      <c r="C71" s="21">
        <f>IF(C$26&lt;&gt;"OK","N/A",MIN(1,$B$133+$B$134*C$40))</f>
        <v/>
      </c>
      <c r="D71" s="21">
        <f>IF(D$26&lt;&gt;"OK","N/A",MIN(1,$B$133+$B$134*D$40))</f>
        <v/>
      </c>
      <c r="E71" s="21">
        <f>IF(E$26&lt;&gt;"OK","N/A",MIN(1,$B$133+$B$134*E$40))</f>
        <v/>
      </c>
      <c r="F71" s="21">
        <f>IF(F$26&lt;&gt;"OK","N/A",MIN(1,$B$133+$B$134*F$40))</f>
        <v/>
      </c>
      <c r="G71" s="10" t="inlineStr">
        <is>
          <t>-</t>
        </is>
      </c>
      <c r="H71" s="10" t="inlineStr">
        <is>
          <t>SUS-502</t>
        </is>
      </c>
    </row>
    <row r="72">
      <c r="A72" s="4" t="inlineStr">
        <is>
          <t>Gxα numerador = cos(Cxα·atan(Bxα·αs − Exα·(Bxα·αs − atan(Bxα·αs)))), αs = α_eq+SHxα</t>
        </is>
      </c>
      <c r="B72" s="21">
        <f>IF(B$26&lt;&gt;"OK","N/A",COS(B$70*ATAN(B$69*(B$38+B$68)-B$71*(B$69*(B$38+B$68)-ATAN(B$69*(B$38+B$68))))))</f>
        <v/>
      </c>
      <c r="C72" s="21">
        <f>IF(C$26&lt;&gt;"OK","N/A",COS(C$70*ATAN(C$69*(C$38+C$68)-C$71*(C$69*(C$38+C$68)-ATAN(C$69*(C$38+C$68))))))</f>
        <v/>
      </c>
      <c r="D72" s="21">
        <f>IF(D$26&lt;&gt;"OK","N/A",COS(D$70*ATAN(D$69*(D$38+D$68)-D$71*(D$69*(D$38+D$68)-ATAN(D$69*(D$38+D$68))))))</f>
        <v/>
      </c>
      <c r="E72" s="21">
        <f>IF(E$26&lt;&gt;"OK","N/A",COS(E$70*ATAN(E$69*(E$38+E$68)-E$71*(E$69*(E$38+E$68)-ATAN(E$69*(E$38+E$68))))))</f>
        <v/>
      </c>
      <c r="F72" s="21">
        <f>IF(F$26&lt;&gt;"OK","N/A",COS(F$70*ATAN(F$69*(F$38+F$68)-F$71*(F$69*(F$38+F$68)-ATAN(F$69*(F$38+F$68))))))</f>
        <v/>
      </c>
      <c r="G72" s="10" t="inlineStr">
        <is>
          <t>-</t>
        </is>
      </c>
      <c r="H72" s="10" t="inlineStr">
        <is>
          <t>SUS-502</t>
        </is>
      </c>
    </row>
    <row r="73">
      <c r="A73" s="4" t="inlineStr">
        <is>
          <t>Gxα denominador (mesmo termo com αs = SHxα)</t>
        </is>
      </c>
      <c r="B73" s="21">
        <f>IF(B$26&lt;&gt;"OK","N/A",COS(B$70*ATAN(B$69*B$68-B$71*(B$69*B$68-ATAN(B$69*B$68)))))</f>
        <v/>
      </c>
      <c r="C73" s="21">
        <f>IF(C$26&lt;&gt;"OK","N/A",COS(C$70*ATAN(C$69*C$68-C$71*(C$69*C$68-ATAN(C$69*C$68)))))</f>
        <v/>
      </c>
      <c r="D73" s="21">
        <f>IF(D$26&lt;&gt;"OK","N/A",COS(D$70*ATAN(D$69*D$68-D$71*(D$69*D$68-ATAN(D$69*D$68)))))</f>
        <v/>
      </c>
      <c r="E73" s="21">
        <f>IF(E$26&lt;&gt;"OK","N/A",COS(E$70*ATAN(E$69*E$68-E$71*(E$69*E$68-ATAN(E$69*E$68)))))</f>
        <v/>
      </c>
      <c r="F73" s="21">
        <f>IF(F$26&lt;&gt;"OK","N/A",COS(F$70*ATAN(F$69*F$68-F$71*(F$69*F$68-ATAN(F$69*F$68)))))</f>
        <v/>
      </c>
      <c r="G73" s="10" t="inlineStr">
        <is>
          <t>-</t>
        </is>
      </c>
      <c r="H73" s="10" t="inlineStr">
        <is>
          <t>SUS-502</t>
        </is>
      </c>
    </row>
    <row r="74">
      <c r="A74" s="4" t="inlineStr">
        <is>
          <t>Gxα</t>
        </is>
      </c>
      <c r="B74" s="21">
        <f>IF(B$26&lt;&gt;"OK","N/A",B$72/B$73)</f>
        <v/>
      </c>
      <c r="C74" s="21">
        <f>IF(C$26&lt;&gt;"OK","N/A",C$72/C$73)</f>
        <v/>
      </c>
      <c r="D74" s="21">
        <f>IF(D$26&lt;&gt;"OK","N/A",D$72/D$73)</f>
        <v/>
      </c>
      <c r="E74" s="21">
        <f>IF(E$26&lt;&gt;"OK","N/A",E$72/E$73)</f>
        <v/>
      </c>
      <c r="F74" s="21">
        <f>IF(F$26&lt;&gt;"OK","N/A",F$72/F$73)</f>
        <v/>
      </c>
      <c r="G74" s="10" t="inlineStr">
        <is>
          <t>-</t>
        </is>
      </c>
      <c r="H74" s="10" t="inlineStr">
        <is>
          <t>SUS-502</t>
        </is>
      </c>
    </row>
    <row r="75">
      <c r="A75" s="4" t="inlineStr">
        <is>
          <t>SHyκ = RHY1+RHY2·dfz</t>
        </is>
      </c>
      <c r="B75" s="21">
        <f>IF(B$26&lt;&gt;"OK","N/A",$B$160+$B$161*B$40)</f>
        <v/>
      </c>
      <c r="C75" s="21">
        <f>IF(C$26&lt;&gt;"OK","N/A",$B$160+$B$161*C$40)</f>
        <v/>
      </c>
      <c r="D75" s="21">
        <f>IF(D$26&lt;&gt;"OK","N/A",$B$160+$B$161*D$40)</f>
        <v/>
      </c>
      <c r="E75" s="21">
        <f>IF(E$26&lt;&gt;"OK","N/A",$B$160+$B$161*E$40)</f>
        <v/>
      </c>
      <c r="F75" s="21">
        <f>IF(F$26&lt;&gt;"OK","N/A",$B$160+$B$161*F$40)</f>
        <v/>
      </c>
      <c r="G75" s="10" t="inlineStr">
        <is>
          <t>-</t>
        </is>
      </c>
      <c r="H75" s="10" t="inlineStr">
        <is>
          <t>SUS-501</t>
        </is>
      </c>
    </row>
    <row r="76">
      <c r="A76" s="4" t="inlineStr">
        <is>
          <t>Byκ = RBY1·cos(atan(RBY2·(α_eq−RBY3)))·LYKA</t>
        </is>
      </c>
      <c r="B76" s="21">
        <f>IF(B$26&lt;&gt;"OK","N/A",$B$154*COS(ATAN($B$155*(B$38-$B$156)))*$B$113)</f>
        <v/>
      </c>
      <c r="C76" s="21">
        <f>IF(C$26&lt;&gt;"OK","N/A",$B$154*COS(ATAN($B$155*(C$38-$B$156)))*$B$113)</f>
        <v/>
      </c>
      <c r="D76" s="21">
        <f>IF(D$26&lt;&gt;"OK","N/A",$B$154*COS(ATAN($B$155*(D$38-$B$156)))*$B$113)</f>
        <v/>
      </c>
      <c r="E76" s="21">
        <f>IF(E$26&lt;&gt;"OK","N/A",$B$154*COS(ATAN($B$155*(E$38-$B$156)))*$B$113)</f>
        <v/>
      </c>
      <c r="F76" s="21">
        <f>IF(F$26&lt;&gt;"OK","N/A",$B$154*COS(ATAN($B$155*(F$38-$B$156)))*$B$113)</f>
        <v/>
      </c>
      <c r="G76" s="10" t="inlineStr">
        <is>
          <t>-</t>
        </is>
      </c>
      <c r="H76" s="10" t="inlineStr">
        <is>
          <t>SUS-501</t>
        </is>
      </c>
    </row>
    <row r="77">
      <c r="A77" s="4" t="inlineStr">
        <is>
          <t>Cyκ = RCY1</t>
        </is>
      </c>
      <c r="B77" s="21">
        <f>IF(B$26&lt;&gt;"OK","N/A",$B$157)</f>
        <v/>
      </c>
      <c r="C77" s="21">
        <f>IF(C$26&lt;&gt;"OK","N/A",$B$157)</f>
        <v/>
      </c>
      <c r="D77" s="21">
        <f>IF(D$26&lt;&gt;"OK","N/A",$B$157)</f>
        <v/>
      </c>
      <c r="E77" s="21">
        <f>IF(E$26&lt;&gt;"OK","N/A",$B$157)</f>
        <v/>
      </c>
      <c r="F77" s="21">
        <f>IF(F$26&lt;&gt;"OK","N/A",$B$157)</f>
        <v/>
      </c>
      <c r="G77" s="10" t="inlineStr">
        <is>
          <t>-</t>
        </is>
      </c>
      <c r="H77" s="10" t="inlineStr">
        <is>
          <t>SUS-501</t>
        </is>
      </c>
    </row>
    <row r="78">
      <c r="A78" s="4" t="inlineStr">
        <is>
          <t>Eyκ = min(1; REY1+REY2·dfz)</t>
        </is>
      </c>
      <c r="B78" s="21">
        <f>IF(B$26&lt;&gt;"OK","N/A",MIN(1,$B$158+$B$159*B$40))</f>
        <v/>
      </c>
      <c r="C78" s="21">
        <f>IF(C$26&lt;&gt;"OK","N/A",MIN(1,$B$158+$B$159*C$40))</f>
        <v/>
      </c>
      <c r="D78" s="21">
        <f>IF(D$26&lt;&gt;"OK","N/A",MIN(1,$B$158+$B$159*D$40))</f>
        <v/>
      </c>
      <c r="E78" s="21">
        <f>IF(E$26&lt;&gt;"OK","N/A",MIN(1,$B$158+$B$159*E$40))</f>
        <v/>
      </c>
      <c r="F78" s="21">
        <f>IF(F$26&lt;&gt;"OK","N/A",MIN(1,$B$158+$B$159*F$40))</f>
        <v/>
      </c>
      <c r="G78" s="10" t="inlineStr">
        <is>
          <t>-</t>
        </is>
      </c>
      <c r="H78" s="10" t="inlineStr">
        <is>
          <t>SUS-501</t>
        </is>
      </c>
    </row>
    <row r="79">
      <c r="A79" s="4" t="inlineStr">
        <is>
          <t>Gyκ numerador (κs = κ+SHyκ)</t>
        </is>
      </c>
      <c r="B79" s="21">
        <f>IF(B$26&lt;&gt;"OK","N/A",COS(B$77*ATAN(B$76*(B$25+B$75)-B$78*(B$76*(B$25+B$75)-ATAN(B$76*(B$25+B$75))))))</f>
        <v/>
      </c>
      <c r="C79" s="21">
        <f>IF(C$26&lt;&gt;"OK","N/A",COS(C$77*ATAN(C$76*(C$25+C$75)-C$78*(C$76*(C$25+C$75)-ATAN(C$76*(C$25+C$75))))))</f>
        <v/>
      </c>
      <c r="D79" s="21">
        <f>IF(D$26&lt;&gt;"OK","N/A",COS(D$77*ATAN(D$76*(D$25+D$75)-D$78*(D$76*(D$25+D$75)-ATAN(D$76*(D$25+D$75))))))</f>
        <v/>
      </c>
      <c r="E79" s="21">
        <f>IF(E$26&lt;&gt;"OK","N/A",COS(E$77*ATAN(E$76*(E$25+E$75)-E$78*(E$76*(E$25+E$75)-ATAN(E$76*(E$25+E$75))))))</f>
        <v/>
      </c>
      <c r="F79" s="21">
        <f>IF(F$26&lt;&gt;"OK","N/A",COS(F$77*ATAN(F$76*(F$25+F$75)-F$78*(F$76*(F$25+F$75)-ATAN(F$76*(F$25+F$75))))))</f>
        <v/>
      </c>
      <c r="G79" s="10" t="inlineStr">
        <is>
          <t>-</t>
        </is>
      </c>
      <c r="H79" s="10" t="inlineStr">
        <is>
          <t>SUS-501</t>
        </is>
      </c>
    </row>
    <row r="80">
      <c r="A80" s="4" t="inlineStr">
        <is>
          <t>Gyκ denominador (κs = SHyκ)</t>
        </is>
      </c>
      <c r="B80" s="21">
        <f>IF(B$26&lt;&gt;"OK","N/A",COS(B$77*ATAN(B$76*B$75-B$78*(B$76*B$75-ATAN(B$76*B$75)))))</f>
        <v/>
      </c>
      <c r="C80" s="21">
        <f>IF(C$26&lt;&gt;"OK","N/A",COS(C$77*ATAN(C$76*C$75-C$78*(C$76*C$75-ATAN(C$76*C$75)))))</f>
        <v/>
      </c>
      <c r="D80" s="21">
        <f>IF(D$26&lt;&gt;"OK","N/A",COS(D$77*ATAN(D$76*D$75-D$78*(D$76*D$75-ATAN(D$76*D$75)))))</f>
        <v/>
      </c>
      <c r="E80" s="21">
        <f>IF(E$26&lt;&gt;"OK","N/A",COS(E$77*ATAN(E$76*E$75-E$78*(E$76*E$75-ATAN(E$76*E$75)))))</f>
        <v/>
      </c>
      <c r="F80" s="21">
        <f>IF(F$26&lt;&gt;"OK","N/A",COS(F$77*ATAN(F$76*F$75-F$78*(F$76*F$75-ATAN(F$76*F$75)))))</f>
        <v/>
      </c>
      <c r="G80" s="10" t="inlineStr">
        <is>
          <t>-</t>
        </is>
      </c>
      <c r="H80" s="10" t="inlineStr">
        <is>
          <t>SUS-501</t>
        </is>
      </c>
    </row>
    <row r="81">
      <c r="A81" s="4" t="inlineStr">
        <is>
          <t>Gyκ</t>
        </is>
      </c>
      <c r="B81" s="21">
        <f>IF(B$26&lt;&gt;"OK","N/A",B$79/B$80)</f>
        <v/>
      </c>
      <c r="C81" s="21">
        <f>IF(C$26&lt;&gt;"OK","N/A",C$79/C$80)</f>
        <v/>
      </c>
      <c r="D81" s="21">
        <f>IF(D$26&lt;&gt;"OK","N/A",D$79/D$80)</f>
        <v/>
      </c>
      <c r="E81" s="21">
        <f>IF(E$26&lt;&gt;"OK","N/A",E$79/E$80)</f>
        <v/>
      </c>
      <c r="F81" s="21">
        <f>IF(F$26&lt;&gt;"OK","N/A",F$79/F$80)</f>
        <v/>
      </c>
      <c r="G81" s="10" t="inlineStr">
        <is>
          <t>-</t>
        </is>
      </c>
      <c r="H81" s="10" t="inlineStr">
        <is>
          <t>SUS-501</t>
        </is>
      </c>
    </row>
    <row r="82">
      <c r="A82" s="4" t="inlineStr">
        <is>
          <t>DVyκ = μy·Fz·(RVY1+RVY2·dfz+RVY3·γ)·cos(atan(RVY4·α_eq))</t>
        </is>
      </c>
      <c r="B82" s="21">
        <f>IF(B$26&lt;&gt;"OK","N/A",B$60*B$22*($B$162+$B$163*B$40+$B$164*B$39)*COS(ATAN($B$165*B$38)))</f>
        <v/>
      </c>
      <c r="C82" s="21">
        <f>IF(C$26&lt;&gt;"OK","N/A",C$60*C$22*($B$162+$B$163*C$40+$B$164*C$39)*COS(ATAN($B$165*C$38)))</f>
        <v/>
      </c>
      <c r="D82" s="21">
        <f>IF(D$26&lt;&gt;"OK","N/A",D$60*D$22*($B$162+$B$163*D$40+$B$164*D$39)*COS(ATAN($B$165*D$38)))</f>
        <v/>
      </c>
      <c r="E82" s="21">
        <f>IF(E$26&lt;&gt;"OK","N/A",E$60*E$22*($B$162+$B$163*E$40+$B$164*E$39)*COS(ATAN($B$165*E$38)))</f>
        <v/>
      </c>
      <c r="F82" s="21">
        <f>IF(F$26&lt;&gt;"OK","N/A",F$60*F$22*($B$162+$B$163*F$40+$B$164*F$39)*COS(ATAN($B$165*F$38)))</f>
        <v/>
      </c>
      <c r="G82" s="10" t="inlineStr">
        <is>
          <t>N</t>
        </is>
      </c>
      <c r="H82" s="10" t="inlineStr">
        <is>
          <t>SUS-501</t>
        </is>
      </c>
    </row>
    <row r="83">
      <c r="A83" s="4" t="inlineStr">
        <is>
          <t>SVyκ = DVyκ·sin(RVY5·atan(RVY6·κ))·LVYKA</t>
        </is>
      </c>
      <c r="B83" s="21">
        <f>IF(B$26&lt;&gt;"OK","N/A",B$82*SIN($B$166*ATAN($B$167*B$25))*$B$114)</f>
        <v/>
      </c>
      <c r="C83" s="21">
        <f>IF(C$26&lt;&gt;"OK","N/A",C$82*SIN($B$166*ATAN($B$167*C$25))*$B$114)</f>
        <v/>
      </c>
      <c r="D83" s="21">
        <f>IF(D$26&lt;&gt;"OK","N/A",D$82*SIN($B$166*ATAN($B$167*D$25))*$B$114)</f>
        <v/>
      </c>
      <c r="E83" s="21">
        <f>IF(E$26&lt;&gt;"OK","N/A",E$82*SIN($B$166*ATAN($B$167*E$25))*$B$114)</f>
        <v/>
      </c>
      <c r="F83" s="21">
        <f>IF(F$26&lt;&gt;"OK","N/A",F$82*SIN($B$166*ATAN($B$167*F$25))*$B$114)</f>
        <v/>
      </c>
      <c r="G83" s="10" t="inlineStr">
        <is>
          <t>N</t>
        </is>
      </c>
      <c r="H83" s="10" t="inlineStr">
        <is>
          <t>SUS-501</t>
        </is>
      </c>
    </row>
    <row r="85" ht="30" customHeight="1">
      <c r="A85" s="28" t="inlineStr">
        <is>
          <t>Coeficientes do dataset (REFERENCE provisório) — .tir PAC2002; unidades do arquivo: N, m, rad. Mx, My, Mz, relaxamento e raio carregado NÃO foram importados (fora do escopo SUS-501..503).</t>
        </is>
      </c>
    </row>
    <row r="86">
      <c r="A86" s="4" t="inlineStr">
        <is>
          <t>FNOMIN</t>
        </is>
      </c>
      <c r="B86" s="42" t="n">
        <v>1054</v>
      </c>
      <c r="G86" s="10" t="inlineStr">
        <is>
          <t>N</t>
        </is>
      </c>
      <c r="H86" s="10" t="inlineStr">
        <is>
          <t>SUS-501/502</t>
        </is>
      </c>
      <c r="I86" s="2" t="inlineStr">
        <is>
          <t>Carga normal nominal</t>
        </is>
      </c>
    </row>
    <row r="87">
      <c r="A87" s="4" t="inlineStr">
        <is>
          <t>FZMIN</t>
        </is>
      </c>
      <c r="B87" s="42" t="n">
        <v>100</v>
      </c>
      <c r="G87" s="10" t="inlineStr">
        <is>
          <t>N</t>
        </is>
      </c>
      <c r="H87" s="10" t="inlineStr">
        <is>
          <t>SUS-501/502</t>
        </is>
      </c>
      <c r="I87" s="2" t="inlineStr">
        <is>
          <t>Carga mínima permitida</t>
        </is>
      </c>
    </row>
    <row r="88">
      <c r="A88" s="4" t="inlineStr">
        <is>
          <t>FZMAX</t>
        </is>
      </c>
      <c r="B88" s="42" t="n">
        <v>1521</v>
      </c>
      <c r="G88" s="10" t="inlineStr">
        <is>
          <t>N</t>
        </is>
      </c>
      <c r="H88" s="10" t="inlineStr">
        <is>
          <t>SUS-501/502</t>
        </is>
      </c>
      <c r="I88" s="2" t="inlineStr">
        <is>
          <t>Carga máxima permitida</t>
        </is>
      </c>
    </row>
    <row r="89">
      <c r="A89" s="4" t="inlineStr">
        <is>
          <t>ALPMIN</t>
        </is>
      </c>
      <c r="B89" s="42" t="n">
        <v>-0.261799</v>
      </c>
      <c r="G89" s="10" t="inlineStr">
        <is>
          <t>rad</t>
        </is>
      </c>
      <c r="H89" s="10" t="inlineStr">
        <is>
          <t>SUS-501/502</t>
        </is>
      </c>
      <c r="I89" s="2" t="inlineStr">
        <is>
          <t>Ângulo de deriva mínimo válido</t>
        </is>
      </c>
    </row>
    <row r="90">
      <c r="A90" s="4" t="inlineStr">
        <is>
          <t>ALPMAX</t>
        </is>
      </c>
      <c r="B90" s="42" t="n">
        <v>0.261799</v>
      </c>
      <c r="G90" s="10" t="inlineStr">
        <is>
          <t>rad</t>
        </is>
      </c>
      <c r="H90" s="10" t="inlineStr">
        <is>
          <t>SUS-501/502</t>
        </is>
      </c>
      <c r="I90" s="2" t="inlineStr">
        <is>
          <t>Ângulo de deriva máximo válido</t>
        </is>
      </c>
    </row>
    <row r="91">
      <c r="A91" s="4" t="inlineStr">
        <is>
          <t>CAMMIN</t>
        </is>
      </c>
      <c r="B91" s="42" t="n">
        <v>-0.069813</v>
      </c>
      <c r="G91" s="10" t="inlineStr">
        <is>
          <t>rad</t>
        </is>
      </c>
      <c r="H91" s="10" t="inlineStr">
        <is>
          <t>SUS-501/502</t>
        </is>
      </c>
      <c r="I91" s="2" t="inlineStr">
        <is>
          <t>Camber mínimo válido</t>
        </is>
      </c>
    </row>
    <row r="92">
      <c r="A92" s="4" t="inlineStr">
        <is>
          <t>CAMMAX</t>
        </is>
      </c>
      <c r="B92" s="42" t="n">
        <v>0.069813</v>
      </c>
      <c r="G92" s="10" t="inlineStr">
        <is>
          <t>rad</t>
        </is>
      </c>
      <c r="H92" s="10" t="inlineStr">
        <is>
          <t>SUS-501/502</t>
        </is>
      </c>
      <c r="I92" s="2" t="inlineStr">
        <is>
          <t>Camber máximo válido</t>
        </is>
      </c>
    </row>
    <row r="93">
      <c r="A93" s="4" t="inlineStr">
        <is>
          <t>KPUMIN</t>
        </is>
      </c>
      <c r="B93" s="42" t="n">
        <v>-0.25</v>
      </c>
      <c r="G93" s="10" t="inlineStr">
        <is>
          <t>-</t>
        </is>
      </c>
      <c r="H93" s="10" t="inlineStr">
        <is>
          <t>SUS-501/502</t>
        </is>
      </c>
      <c r="I93" s="2" t="inlineStr">
        <is>
          <t>Slip ratio mínimo válido</t>
        </is>
      </c>
    </row>
    <row r="94">
      <c r="A94" s="4" t="inlineStr">
        <is>
          <t>KPUMAX</t>
        </is>
      </c>
      <c r="B94" s="42" t="n">
        <v>0.25</v>
      </c>
      <c r="G94" s="10" t="inlineStr">
        <is>
          <t>-</t>
        </is>
      </c>
      <c r="H94" s="10" t="inlineStr">
        <is>
          <t>SUS-501/502</t>
        </is>
      </c>
      <c r="I94" s="2" t="inlineStr">
        <is>
          <t>Slip ratio máximo válido</t>
        </is>
      </c>
    </row>
    <row r="95">
      <c r="A95" s="4" t="inlineStr">
        <is>
          <t>IP</t>
        </is>
      </c>
      <c r="B95" s="42" t="n">
        <v>82737</v>
      </c>
      <c r="G95" s="10" t="inlineStr">
        <is>
          <t>Pa</t>
        </is>
      </c>
      <c r="H95" s="10" t="inlineStr">
        <is>
          <t>SUS-501/502</t>
        </is>
      </c>
      <c r="I95" s="2" t="inlineStr">
        <is>
          <t>Pressão de inflação</t>
        </is>
      </c>
    </row>
    <row r="96">
      <c r="A96" s="4" t="inlineStr">
        <is>
          <t>IP_NOM</t>
        </is>
      </c>
      <c r="B96" s="42" t="n">
        <v>82737</v>
      </c>
      <c r="G96" s="10" t="inlineStr">
        <is>
          <t>Pa</t>
        </is>
      </c>
      <c r="H96" s="10" t="inlineStr">
        <is>
          <t>SUS-501/502</t>
        </is>
      </c>
      <c r="I96" s="2" t="inlineStr">
        <is>
          <t>Pressão nominal</t>
        </is>
      </c>
    </row>
    <row r="97">
      <c r="A97" s="4" t="inlineStr">
        <is>
          <t>LFZO</t>
        </is>
      </c>
      <c r="B97" s="42" t="n">
        <v>1</v>
      </c>
      <c r="G97" s="10" t="inlineStr">
        <is>
          <t>-</t>
        </is>
      </c>
      <c r="H97" s="10" t="inlineStr">
        <is>
          <t>SUS-501/502</t>
        </is>
      </c>
      <c r="I97" s="2" t="inlineStr">
        <is>
          <t>Fator de escala</t>
        </is>
      </c>
    </row>
    <row r="98">
      <c r="A98" s="4" t="inlineStr">
        <is>
          <t>LCX</t>
        </is>
      </c>
      <c r="B98" s="42" t="n">
        <v>1</v>
      </c>
      <c r="G98" s="10" t="inlineStr">
        <is>
          <t>-</t>
        </is>
      </c>
      <c r="H98" s="10" t="inlineStr">
        <is>
          <t>SUS-501/502</t>
        </is>
      </c>
      <c r="I98" s="2" t="inlineStr">
        <is>
          <t>Fator de escala</t>
        </is>
      </c>
    </row>
    <row r="99">
      <c r="A99" s="4" t="inlineStr">
        <is>
          <t>LMUX</t>
        </is>
      </c>
      <c r="B99" s="42" t="n">
        <v>1</v>
      </c>
      <c r="G99" s="10" t="inlineStr">
        <is>
          <t>-</t>
        </is>
      </c>
      <c r="H99" s="10" t="inlineStr">
        <is>
          <t>SUS-501/502</t>
        </is>
      </c>
      <c r="I99" s="2" t="inlineStr">
        <is>
          <t>Fator de escala</t>
        </is>
      </c>
    </row>
    <row r="100">
      <c r="A100" s="4" t="inlineStr">
        <is>
          <t>LEX</t>
        </is>
      </c>
      <c r="B100" s="42" t="n">
        <v>1</v>
      </c>
      <c r="G100" s="10" t="inlineStr">
        <is>
          <t>-</t>
        </is>
      </c>
      <c r="H100" s="10" t="inlineStr">
        <is>
          <t>SUS-501/502</t>
        </is>
      </c>
      <c r="I100" s="2" t="inlineStr">
        <is>
          <t>Fator de escala</t>
        </is>
      </c>
    </row>
    <row r="101">
      <c r="A101" s="4" t="inlineStr">
        <is>
          <t>LKX</t>
        </is>
      </c>
      <c r="B101" s="42" t="n">
        <v>1</v>
      </c>
      <c r="G101" s="10" t="inlineStr">
        <is>
          <t>-</t>
        </is>
      </c>
      <c r="H101" s="10" t="inlineStr">
        <is>
          <t>SUS-501/502</t>
        </is>
      </c>
      <c r="I101" s="2" t="inlineStr">
        <is>
          <t>Fator de escala</t>
        </is>
      </c>
    </row>
    <row r="102">
      <c r="A102" s="4" t="inlineStr">
        <is>
          <t>LHX</t>
        </is>
      </c>
      <c r="B102" s="42" t="n">
        <v>1</v>
      </c>
      <c r="G102" s="10" t="inlineStr">
        <is>
          <t>-</t>
        </is>
      </c>
      <c r="H102" s="10" t="inlineStr">
        <is>
          <t>SUS-501/502</t>
        </is>
      </c>
      <c r="I102" s="2" t="inlineStr">
        <is>
          <t>Fator de escala</t>
        </is>
      </c>
    </row>
    <row r="103">
      <c r="A103" s="4" t="inlineStr">
        <is>
          <t>LVX</t>
        </is>
      </c>
      <c r="B103" s="42" t="n">
        <v>1</v>
      </c>
      <c r="G103" s="10" t="inlineStr">
        <is>
          <t>-</t>
        </is>
      </c>
      <c r="H103" s="10" t="inlineStr">
        <is>
          <t>SUS-501/502</t>
        </is>
      </c>
      <c r="I103" s="2" t="inlineStr">
        <is>
          <t>Fator de escala</t>
        </is>
      </c>
    </row>
    <row r="104">
      <c r="A104" s="4" t="inlineStr">
        <is>
          <t>LGAX</t>
        </is>
      </c>
      <c r="B104" s="42" t="n">
        <v>1</v>
      </c>
      <c r="G104" s="10" t="inlineStr">
        <is>
          <t>-</t>
        </is>
      </c>
      <c r="H104" s="10" t="inlineStr">
        <is>
          <t>SUS-501/502</t>
        </is>
      </c>
      <c r="I104" s="2" t="inlineStr">
        <is>
          <t>Fator de escala</t>
        </is>
      </c>
    </row>
    <row r="105">
      <c r="A105" s="4" t="inlineStr">
        <is>
          <t>LCY</t>
        </is>
      </c>
      <c r="B105" s="42" t="n">
        <v>1</v>
      </c>
      <c r="G105" s="10" t="inlineStr">
        <is>
          <t>-</t>
        </is>
      </c>
      <c r="H105" s="10" t="inlineStr">
        <is>
          <t>SUS-501/502</t>
        </is>
      </c>
      <c r="I105" s="2" t="inlineStr">
        <is>
          <t>Fator de escala</t>
        </is>
      </c>
    </row>
    <row r="106">
      <c r="A106" s="4" t="inlineStr">
        <is>
          <t>LMUY</t>
        </is>
      </c>
      <c r="B106" s="42" t="n">
        <v>1</v>
      </c>
      <c r="G106" s="10" t="inlineStr">
        <is>
          <t>-</t>
        </is>
      </c>
      <c r="H106" s="10" t="inlineStr">
        <is>
          <t>SUS-501/502</t>
        </is>
      </c>
      <c r="I106" s="2" t="inlineStr">
        <is>
          <t>Fator de escala</t>
        </is>
      </c>
    </row>
    <row r="107">
      <c r="A107" s="4" t="inlineStr">
        <is>
          <t>LEY</t>
        </is>
      </c>
      <c r="B107" s="42" t="n">
        <v>1</v>
      </c>
      <c r="G107" s="10" t="inlineStr">
        <is>
          <t>-</t>
        </is>
      </c>
      <c r="H107" s="10" t="inlineStr">
        <is>
          <t>SUS-501/502</t>
        </is>
      </c>
      <c r="I107" s="2" t="inlineStr">
        <is>
          <t>Fator de escala</t>
        </is>
      </c>
    </row>
    <row r="108">
      <c r="A108" s="4" t="inlineStr">
        <is>
          <t>LKY</t>
        </is>
      </c>
      <c r="B108" s="42" t="n">
        <v>1</v>
      </c>
      <c r="G108" s="10" t="inlineStr">
        <is>
          <t>-</t>
        </is>
      </c>
      <c r="H108" s="10" t="inlineStr">
        <is>
          <t>SUS-501/502</t>
        </is>
      </c>
      <c r="I108" s="2" t="inlineStr">
        <is>
          <t>Fator de escala</t>
        </is>
      </c>
    </row>
    <row r="109">
      <c r="A109" s="4" t="inlineStr">
        <is>
          <t>LHY</t>
        </is>
      </c>
      <c r="B109" s="42" t="n">
        <v>1</v>
      </c>
      <c r="G109" s="10" t="inlineStr">
        <is>
          <t>-</t>
        </is>
      </c>
      <c r="H109" s="10" t="inlineStr">
        <is>
          <t>SUS-501/502</t>
        </is>
      </c>
      <c r="I109" s="2" t="inlineStr">
        <is>
          <t>Fator de escala</t>
        </is>
      </c>
    </row>
    <row r="110">
      <c r="A110" s="4" t="inlineStr">
        <is>
          <t>LVY</t>
        </is>
      </c>
      <c r="B110" s="42" t="n">
        <v>1</v>
      </c>
      <c r="G110" s="10" t="inlineStr">
        <is>
          <t>-</t>
        </is>
      </c>
      <c r="H110" s="10" t="inlineStr">
        <is>
          <t>SUS-501/502</t>
        </is>
      </c>
      <c r="I110" s="2" t="inlineStr">
        <is>
          <t>Fator de escala</t>
        </is>
      </c>
    </row>
    <row r="111">
      <c r="A111" s="4" t="inlineStr">
        <is>
          <t>LGAY</t>
        </is>
      </c>
      <c r="B111" s="42" t="n">
        <v>1</v>
      </c>
      <c r="G111" s="10" t="inlineStr">
        <is>
          <t>-</t>
        </is>
      </c>
      <c r="H111" s="10" t="inlineStr">
        <is>
          <t>SUS-501/502</t>
        </is>
      </c>
      <c r="I111" s="2" t="inlineStr">
        <is>
          <t>Fator de escala</t>
        </is>
      </c>
    </row>
    <row r="112">
      <c r="A112" s="4" t="inlineStr">
        <is>
          <t>LXAL</t>
        </is>
      </c>
      <c r="B112" s="42" t="n">
        <v>1</v>
      </c>
      <c r="G112" s="10" t="inlineStr">
        <is>
          <t>-</t>
        </is>
      </c>
      <c r="H112" s="10" t="inlineStr">
        <is>
          <t>SUS-501/502</t>
        </is>
      </c>
      <c r="I112" s="2" t="inlineStr">
        <is>
          <t>Fator de escala</t>
        </is>
      </c>
    </row>
    <row r="113">
      <c r="A113" s="4" t="inlineStr">
        <is>
          <t>LYKA</t>
        </is>
      </c>
      <c r="B113" s="42" t="n">
        <v>1</v>
      </c>
      <c r="G113" s="10" t="inlineStr">
        <is>
          <t>-</t>
        </is>
      </c>
      <c r="H113" s="10" t="inlineStr">
        <is>
          <t>SUS-501/502</t>
        </is>
      </c>
      <c r="I113" s="2" t="inlineStr">
        <is>
          <t>Fator de escala</t>
        </is>
      </c>
    </row>
    <row r="114">
      <c r="A114" s="4" t="inlineStr">
        <is>
          <t>LVYKA</t>
        </is>
      </c>
      <c r="B114" s="42" t="n">
        <v>1</v>
      </c>
      <c r="G114" s="10" t="inlineStr">
        <is>
          <t>-</t>
        </is>
      </c>
      <c r="H114" s="10" t="inlineStr">
        <is>
          <t>SUS-501/502</t>
        </is>
      </c>
      <c r="I114" s="2" t="inlineStr">
        <is>
          <t>Fator de escala</t>
        </is>
      </c>
    </row>
    <row r="115">
      <c r="A115" s="4" t="inlineStr">
        <is>
          <t>PCX1</t>
        </is>
      </c>
      <c r="B115" s="42" t="n">
        <v>1.58329</v>
      </c>
      <c r="G115" s="10" t="inlineStr">
        <is>
          <t>-</t>
        </is>
      </c>
      <c r="H115" s="10" t="inlineStr">
        <is>
          <t>SUS-501/502</t>
        </is>
      </c>
      <c r="I115" s="2" t="inlineStr">
        <is>
          <t>Coeficiente longitudinal/combinado Fx</t>
        </is>
      </c>
    </row>
    <row r="116">
      <c r="A116" s="4" t="inlineStr">
        <is>
          <t>PDX1</t>
        </is>
      </c>
      <c r="B116" s="42" t="n">
        <v>2.81473</v>
      </c>
      <c r="G116" s="10" t="inlineStr">
        <is>
          <t>-</t>
        </is>
      </c>
      <c r="H116" s="10" t="inlineStr">
        <is>
          <t>SUS-501/502</t>
        </is>
      </c>
      <c r="I116" s="2" t="inlineStr">
        <is>
          <t>Coeficiente longitudinal/combinado Fx</t>
        </is>
      </c>
    </row>
    <row r="117">
      <c r="A117" s="4" t="inlineStr">
        <is>
          <t>PDX2</t>
        </is>
      </c>
      <c r="B117" s="42" t="n">
        <v>-0.403091</v>
      </c>
      <c r="G117" s="10" t="inlineStr">
        <is>
          <t>-</t>
        </is>
      </c>
      <c r="H117" s="10" t="inlineStr">
        <is>
          <t>SUS-501/502</t>
        </is>
      </c>
      <c r="I117" s="2" t="inlineStr">
        <is>
          <t>Coeficiente longitudinal/combinado Fx</t>
        </is>
      </c>
    </row>
    <row r="118">
      <c r="A118" s="4" t="inlineStr">
        <is>
          <t>PDX3</t>
        </is>
      </c>
      <c r="B118" s="42" t="n">
        <v>19.314</v>
      </c>
      <c r="G118" s="10" t="inlineStr">
        <is>
          <t>-</t>
        </is>
      </c>
      <c r="H118" s="10" t="inlineStr">
        <is>
          <t>SUS-501/502</t>
        </is>
      </c>
      <c r="I118" s="2" t="inlineStr">
        <is>
          <t>Coeficiente longitudinal/combinado Fx</t>
        </is>
      </c>
    </row>
    <row r="119">
      <c r="A119" s="4" t="inlineStr">
        <is>
          <t>PEX1</t>
        </is>
      </c>
      <c r="B119" s="42" t="n">
        <v>-0.0915937</v>
      </c>
      <c r="G119" s="10" t="inlineStr">
        <is>
          <t>-</t>
        </is>
      </c>
      <c r="H119" s="10" t="inlineStr">
        <is>
          <t>SUS-501/502</t>
        </is>
      </c>
      <c r="I119" s="2" t="inlineStr">
        <is>
          <t>Coeficiente longitudinal/combinado Fx</t>
        </is>
      </c>
    </row>
    <row r="120">
      <c r="A120" s="4" t="inlineStr">
        <is>
          <t>PEX2</t>
        </is>
      </c>
      <c r="B120" s="42" t="n">
        <v>-1.09917</v>
      </c>
      <c r="G120" s="10" t="inlineStr">
        <is>
          <t>-</t>
        </is>
      </c>
      <c r="H120" s="10" t="inlineStr">
        <is>
          <t>SUS-501/502</t>
        </is>
      </c>
      <c r="I120" s="2" t="inlineStr">
        <is>
          <t>Coeficiente longitudinal/combinado Fx</t>
        </is>
      </c>
    </row>
    <row r="121">
      <c r="A121" s="4" t="inlineStr">
        <is>
          <t>PEX3</t>
        </is>
      </c>
      <c r="B121" s="42" t="n">
        <v>-1.27566</v>
      </c>
      <c r="G121" s="10" t="inlineStr">
        <is>
          <t>-</t>
        </is>
      </c>
      <c r="H121" s="10" t="inlineStr">
        <is>
          <t>SUS-501/502</t>
        </is>
      </c>
      <c r="I121" s="2" t="inlineStr">
        <is>
          <t>Coeficiente longitudinal/combinado Fx</t>
        </is>
      </c>
    </row>
    <row r="122">
      <c r="A122" s="4" t="inlineStr">
        <is>
          <t>PEX4</t>
        </is>
      </c>
      <c r="B122" s="42" t="n">
        <v>-1</v>
      </c>
      <c r="G122" s="10" t="inlineStr">
        <is>
          <t>-</t>
        </is>
      </c>
      <c r="H122" s="10" t="inlineStr">
        <is>
          <t>SUS-501/502</t>
        </is>
      </c>
      <c r="I122" s="2" t="inlineStr">
        <is>
          <t>Coeficiente longitudinal/combinado Fx</t>
        </is>
      </c>
    </row>
    <row r="123">
      <c r="A123" s="4" t="inlineStr">
        <is>
          <t>PKX1</t>
        </is>
      </c>
      <c r="B123" s="42" t="n">
        <v>70.23950000000001</v>
      </c>
      <c r="G123" s="10" t="inlineStr">
        <is>
          <t>-</t>
        </is>
      </c>
      <c r="H123" s="10" t="inlineStr">
        <is>
          <t>SUS-501/502</t>
        </is>
      </c>
      <c r="I123" s="2" t="inlineStr">
        <is>
          <t>Coeficiente longitudinal/combinado Fx</t>
        </is>
      </c>
    </row>
    <row r="124">
      <c r="A124" s="4" t="inlineStr">
        <is>
          <t>PKX2</t>
        </is>
      </c>
      <c r="B124" s="42" t="n">
        <v>-58.5502</v>
      </c>
      <c r="G124" s="10" t="inlineStr">
        <is>
          <t>-</t>
        </is>
      </c>
      <c r="H124" s="10" t="inlineStr">
        <is>
          <t>SUS-501/502</t>
        </is>
      </c>
      <c r="I124" s="2" t="inlineStr">
        <is>
          <t>Coeficiente longitudinal/combinado Fx</t>
        </is>
      </c>
    </row>
    <row r="125">
      <c r="A125" s="4" t="inlineStr">
        <is>
          <t>PKX3</t>
        </is>
      </c>
      <c r="B125" s="42" t="n">
        <v>0.214368</v>
      </c>
      <c r="G125" s="10" t="inlineStr">
        <is>
          <t>-</t>
        </is>
      </c>
      <c r="H125" s="10" t="inlineStr">
        <is>
          <t>SUS-501/502</t>
        </is>
      </c>
      <c r="I125" s="2" t="inlineStr">
        <is>
          <t>Coeficiente longitudinal/combinado Fx</t>
        </is>
      </c>
    </row>
    <row r="126">
      <c r="A126" s="4" t="inlineStr">
        <is>
          <t>PHX1</t>
        </is>
      </c>
      <c r="B126" s="42" t="n">
        <v>0.00260384</v>
      </c>
      <c r="G126" s="10" t="inlineStr">
        <is>
          <t>-</t>
        </is>
      </c>
      <c r="H126" s="10" t="inlineStr">
        <is>
          <t>SUS-501/502</t>
        </is>
      </c>
      <c r="I126" s="2" t="inlineStr">
        <is>
          <t>Coeficiente longitudinal/combinado Fx</t>
        </is>
      </c>
    </row>
    <row r="127">
      <c r="A127" s="4" t="inlineStr">
        <is>
          <t>PHX2</t>
        </is>
      </c>
      <c r="B127" s="42" t="n">
        <v>-0.00168398</v>
      </c>
      <c r="G127" s="10" t="inlineStr">
        <is>
          <t>-</t>
        </is>
      </c>
      <c r="H127" s="10" t="inlineStr">
        <is>
          <t>SUS-501/502</t>
        </is>
      </c>
      <c r="I127" s="2" t="inlineStr">
        <is>
          <t>Coeficiente longitudinal/combinado Fx</t>
        </is>
      </c>
    </row>
    <row r="128">
      <c r="A128" s="4" t="inlineStr">
        <is>
          <t>PVX1</t>
        </is>
      </c>
      <c r="B128" s="42" t="n">
        <v>-0.161394</v>
      </c>
      <c r="G128" s="10" t="inlineStr">
        <is>
          <t>-</t>
        </is>
      </c>
      <c r="H128" s="10" t="inlineStr">
        <is>
          <t>SUS-501/502</t>
        </is>
      </c>
      <c r="I128" s="2" t="inlineStr">
        <is>
          <t>Coeficiente longitudinal/combinado Fx</t>
        </is>
      </c>
    </row>
    <row r="129">
      <c r="A129" s="4" t="inlineStr">
        <is>
          <t>PVX2</t>
        </is>
      </c>
      <c r="B129" s="42" t="n">
        <v>-0.0243203</v>
      </c>
      <c r="G129" s="10" t="inlineStr">
        <is>
          <t>-</t>
        </is>
      </c>
      <c r="H129" s="10" t="inlineStr">
        <is>
          <t>SUS-501/502</t>
        </is>
      </c>
      <c r="I129" s="2" t="inlineStr">
        <is>
          <t>Coeficiente longitudinal/combinado Fx</t>
        </is>
      </c>
    </row>
    <row r="130">
      <c r="A130" s="4" t="inlineStr">
        <is>
          <t>RBX1</t>
        </is>
      </c>
      <c r="B130" s="42" t="n">
        <v>16.0481</v>
      </c>
      <c r="G130" s="10" t="inlineStr">
        <is>
          <t>-</t>
        </is>
      </c>
      <c r="H130" s="10" t="inlineStr">
        <is>
          <t>SUS-501/502</t>
        </is>
      </c>
      <c r="I130" s="2" t="inlineStr">
        <is>
          <t>Coeficiente longitudinal/combinado Fx</t>
        </is>
      </c>
    </row>
    <row r="131">
      <c r="A131" s="4" t="inlineStr">
        <is>
          <t>RBX2</t>
        </is>
      </c>
      <c r="B131" s="42" t="n">
        <v>15.5599</v>
      </c>
      <c r="G131" s="10" t="inlineStr">
        <is>
          <t>-</t>
        </is>
      </c>
      <c r="H131" s="10" t="inlineStr">
        <is>
          <t>SUS-501/502</t>
        </is>
      </c>
      <c r="I131" s="2" t="inlineStr">
        <is>
          <t>Coeficiente longitudinal/combinado Fx</t>
        </is>
      </c>
    </row>
    <row r="132">
      <c r="A132" s="4" t="inlineStr">
        <is>
          <t>RCX1</t>
        </is>
      </c>
      <c r="B132" s="42" t="n">
        <v>1.0802</v>
      </c>
      <c r="G132" s="10" t="inlineStr">
        <is>
          <t>-</t>
        </is>
      </c>
      <c r="H132" s="10" t="inlineStr">
        <is>
          <t>SUS-501/502</t>
        </is>
      </c>
      <c r="I132" s="2" t="inlineStr">
        <is>
          <t>Coeficiente longitudinal/combinado Fx</t>
        </is>
      </c>
    </row>
    <row r="133">
      <c r="A133" s="4" t="inlineStr">
        <is>
          <t>REX1</t>
        </is>
      </c>
      <c r="B133" s="42" t="n">
        <v>0.333333</v>
      </c>
      <c r="G133" s="10" t="inlineStr">
        <is>
          <t>-</t>
        </is>
      </c>
      <c r="H133" s="10" t="inlineStr">
        <is>
          <t>SUS-501/502</t>
        </is>
      </c>
      <c r="I133" s="2" t="inlineStr">
        <is>
          <t>Coeficiente longitudinal/combinado Fx</t>
        </is>
      </c>
    </row>
    <row r="134">
      <c r="A134" s="4" t="inlineStr">
        <is>
          <t>REX2</t>
        </is>
      </c>
      <c r="B134" s="42" t="n">
        <v>0.333333</v>
      </c>
      <c r="G134" s="10" t="inlineStr">
        <is>
          <t>-</t>
        </is>
      </c>
      <c r="H134" s="10" t="inlineStr">
        <is>
          <t>SUS-501/502</t>
        </is>
      </c>
      <c r="I134" s="2" t="inlineStr">
        <is>
          <t>Coeficiente longitudinal/combinado Fx</t>
        </is>
      </c>
    </row>
    <row r="135">
      <c r="A135" s="4" t="inlineStr">
        <is>
          <t>RHX1</t>
        </is>
      </c>
      <c r="B135" s="42" t="n">
        <v>0.008303029999999999</v>
      </c>
      <c r="G135" s="10" t="inlineStr">
        <is>
          <t>-</t>
        </is>
      </c>
      <c r="H135" s="10" t="inlineStr">
        <is>
          <t>SUS-501/502</t>
        </is>
      </c>
      <c r="I135" s="2" t="inlineStr">
        <is>
          <t>Coeficiente longitudinal/combinado Fx</t>
        </is>
      </c>
    </row>
    <row r="136">
      <c r="A136" s="4" t="inlineStr">
        <is>
          <t>PCY1</t>
        </is>
      </c>
      <c r="B136" s="42" t="n">
        <v>1.4199</v>
      </c>
      <c r="G136" s="10" t="inlineStr">
        <is>
          <t>-</t>
        </is>
      </c>
      <c r="H136" s="10" t="inlineStr">
        <is>
          <t>SUS-501/502</t>
        </is>
      </c>
      <c r="I136" s="2" t="inlineStr">
        <is>
          <t>Coeficiente lateral/combinado Fy</t>
        </is>
      </c>
    </row>
    <row r="137">
      <c r="A137" s="4" t="inlineStr">
        <is>
          <t>PDY1</t>
        </is>
      </c>
      <c r="B137" s="42" t="n">
        <v>-2.55088</v>
      </c>
      <c r="G137" s="10" t="inlineStr">
        <is>
          <t>-</t>
        </is>
      </c>
      <c r="H137" s="10" t="inlineStr">
        <is>
          <t>SUS-501/502</t>
        </is>
      </c>
      <c r="I137" s="2" t="inlineStr">
        <is>
          <t>Coeficiente lateral/combinado Fy</t>
        </is>
      </c>
    </row>
    <row r="138">
      <c r="A138" s="4" t="inlineStr">
        <is>
          <t>PDY2</t>
        </is>
      </c>
      <c r="B138" s="42" t="n">
        <v>0.309517</v>
      </c>
      <c r="G138" s="10" t="inlineStr">
        <is>
          <t>-</t>
        </is>
      </c>
      <c r="H138" s="10" t="inlineStr">
        <is>
          <t>SUS-501/502</t>
        </is>
      </c>
      <c r="I138" s="2" t="inlineStr">
        <is>
          <t>Coeficiente lateral/combinado Fy</t>
        </is>
      </c>
    </row>
    <row r="139">
      <c r="A139" s="4" t="inlineStr">
        <is>
          <t>PDY3</t>
        </is>
      </c>
      <c r="B139" s="42" t="n">
        <v>2</v>
      </c>
      <c r="G139" s="10" t="inlineStr">
        <is>
          <t>-</t>
        </is>
      </c>
      <c r="H139" s="10" t="inlineStr">
        <is>
          <t>SUS-501/502</t>
        </is>
      </c>
      <c r="I139" s="2" t="inlineStr">
        <is>
          <t>Coeficiente lateral/combinado Fy</t>
        </is>
      </c>
    </row>
    <row r="140">
      <c r="A140" s="4" t="inlineStr">
        <is>
          <t>PEY1</t>
        </is>
      </c>
      <c r="B140" s="42" t="n">
        <v>-0.08036069999999999</v>
      </c>
      <c r="G140" s="10" t="inlineStr">
        <is>
          <t>-</t>
        </is>
      </c>
      <c r="H140" s="10" t="inlineStr">
        <is>
          <t>SUS-501/502</t>
        </is>
      </c>
      <c r="I140" s="2" t="inlineStr">
        <is>
          <t>Coeficiente lateral/combinado Fy</t>
        </is>
      </c>
    </row>
    <row r="141">
      <c r="A141" s="4" t="inlineStr">
        <is>
          <t>PEY2</t>
        </is>
      </c>
      <c r="B141" s="42" t="n">
        <v>-0.134565</v>
      </c>
      <c r="G141" s="10" t="inlineStr">
        <is>
          <t>-</t>
        </is>
      </c>
      <c r="H141" s="10" t="inlineStr">
        <is>
          <t>SUS-501/502</t>
        </is>
      </c>
      <c r="I141" s="2" t="inlineStr">
        <is>
          <t>Coeficiente lateral/combinado Fy</t>
        </is>
      </c>
    </row>
    <row r="142">
      <c r="A142" s="4" t="inlineStr">
        <is>
          <t>PEY3</t>
        </is>
      </c>
      <c r="B142" s="42" t="n">
        <v>1</v>
      </c>
      <c r="G142" s="10" t="inlineStr">
        <is>
          <t>-</t>
        </is>
      </c>
      <c r="H142" s="10" t="inlineStr">
        <is>
          <t>SUS-501/502</t>
        </is>
      </c>
      <c r="I142" s="2" t="inlineStr">
        <is>
          <t>Coeficiente lateral/combinado Fy</t>
        </is>
      </c>
    </row>
    <row r="143">
      <c r="A143" s="4" t="inlineStr">
        <is>
          <t>PEY4</t>
        </is>
      </c>
      <c r="B143" s="42" t="n">
        <v>1</v>
      </c>
      <c r="G143" s="10" t="inlineStr">
        <is>
          <t>-</t>
        </is>
      </c>
      <c r="H143" s="10" t="inlineStr">
        <is>
          <t>SUS-501/502</t>
        </is>
      </c>
      <c r="I143" s="2" t="inlineStr">
        <is>
          <t>Coeficiente lateral/combinado Fy</t>
        </is>
      </c>
    </row>
    <row r="144">
      <c r="A144" s="4" t="inlineStr">
        <is>
          <t>PKY1</t>
        </is>
      </c>
      <c r="B144" s="42" t="n">
        <v>-58.2664</v>
      </c>
      <c r="G144" s="10" t="inlineStr">
        <is>
          <t>-</t>
        </is>
      </c>
      <c r="H144" s="10" t="inlineStr">
        <is>
          <t>SUS-501/502</t>
        </is>
      </c>
      <c r="I144" s="2" t="inlineStr">
        <is>
          <t>Coeficiente lateral/combinado Fy</t>
        </is>
      </c>
    </row>
    <row r="145">
      <c r="A145" s="4" t="inlineStr">
        <is>
          <t>PKY2</t>
        </is>
      </c>
      <c r="B145" s="42" t="n">
        <v>1.74481</v>
      </c>
      <c r="G145" s="10" t="inlineStr">
        <is>
          <t>-</t>
        </is>
      </c>
      <c r="H145" s="10" t="inlineStr">
        <is>
          <t>SUS-501/502</t>
        </is>
      </c>
      <c r="I145" s="2" t="inlineStr">
        <is>
          <t>Coeficiente lateral/combinado Fy</t>
        </is>
      </c>
    </row>
    <row r="146">
      <c r="A146" s="4" t="inlineStr">
        <is>
          <t>PKY3</t>
        </is>
      </c>
      <c r="B146" s="42" t="n">
        <v>1.79056</v>
      </c>
      <c r="G146" s="10" t="inlineStr">
        <is>
          <t>-</t>
        </is>
      </c>
      <c r="H146" s="10" t="inlineStr">
        <is>
          <t>SUS-501/502</t>
        </is>
      </c>
      <c r="I146" s="2" t="inlineStr">
        <is>
          <t>Coeficiente lateral/combinado Fy</t>
        </is>
      </c>
    </row>
    <row r="147">
      <c r="A147" s="4" t="inlineStr">
        <is>
          <t>PHY1</t>
        </is>
      </c>
      <c r="B147" s="42" t="n">
        <v>-0.00112951</v>
      </c>
      <c r="G147" s="10" t="inlineStr">
        <is>
          <t>-</t>
        </is>
      </c>
      <c r="H147" s="10" t="inlineStr">
        <is>
          <t>SUS-501/502</t>
        </is>
      </c>
      <c r="I147" s="2" t="inlineStr">
        <is>
          <t>Coeficiente lateral/combinado Fy</t>
        </is>
      </c>
    </row>
    <row r="148">
      <c r="A148" s="4" t="inlineStr">
        <is>
          <t>PHY2</t>
        </is>
      </c>
      <c r="B148" s="42" t="n">
        <v>0.00155023</v>
      </c>
      <c r="G148" s="10" t="inlineStr">
        <is>
          <t>-</t>
        </is>
      </c>
      <c r="H148" s="10" t="inlineStr">
        <is>
          <t>SUS-501/502</t>
        </is>
      </c>
      <c r="I148" s="2" t="inlineStr">
        <is>
          <t>Coeficiente lateral/combinado Fy</t>
        </is>
      </c>
    </row>
    <row r="149">
      <c r="A149" s="4" t="inlineStr">
        <is>
          <t>PHY3</t>
        </is>
      </c>
      <c r="B149" s="42" t="n">
        <v>0.144919</v>
      </c>
      <c r="G149" s="10" t="inlineStr">
        <is>
          <t>-</t>
        </is>
      </c>
      <c r="H149" s="10" t="inlineStr">
        <is>
          <t>SUS-501/502</t>
        </is>
      </c>
      <c r="I149" s="2" t="inlineStr">
        <is>
          <t>Coeficiente lateral/combinado Fy</t>
        </is>
      </c>
    </row>
    <row r="150">
      <c r="A150" s="4" t="inlineStr">
        <is>
          <t>PVY1</t>
        </is>
      </c>
      <c r="B150" s="42" t="n">
        <v>-0.0315745</v>
      </c>
      <c r="G150" s="10" t="inlineStr">
        <is>
          <t>-</t>
        </is>
      </c>
      <c r="H150" s="10" t="inlineStr">
        <is>
          <t>SUS-501/502</t>
        </is>
      </c>
      <c r="I150" s="2" t="inlineStr">
        <is>
          <t>Coeficiente lateral/combinado Fy</t>
        </is>
      </c>
    </row>
    <row r="151">
      <c r="A151" s="4" t="inlineStr">
        <is>
          <t>PVY2</t>
        </is>
      </c>
      <c r="B151" s="42" t="n">
        <v>0.06650689999999999</v>
      </c>
      <c r="G151" s="10" t="inlineStr">
        <is>
          <t>-</t>
        </is>
      </c>
      <c r="H151" s="10" t="inlineStr">
        <is>
          <t>SUS-501/502</t>
        </is>
      </c>
      <c r="I151" s="2" t="inlineStr">
        <is>
          <t>Coeficiente lateral/combinado Fy</t>
        </is>
      </c>
    </row>
    <row r="152">
      <c r="A152" s="4" t="inlineStr">
        <is>
          <t>PVY3</t>
        </is>
      </c>
      <c r="B152" s="42" t="n">
        <v>1.64023</v>
      </c>
      <c r="G152" s="10" t="inlineStr">
        <is>
          <t>-</t>
        </is>
      </c>
      <c r="H152" s="10" t="inlineStr">
        <is>
          <t>SUS-501/502</t>
        </is>
      </c>
      <c r="I152" s="2" t="inlineStr">
        <is>
          <t>Coeficiente lateral/combinado Fy</t>
        </is>
      </c>
    </row>
    <row r="153">
      <c r="A153" s="4" t="inlineStr">
        <is>
          <t>PVY4</t>
        </is>
      </c>
      <c r="B153" s="42" t="n">
        <v>-1.75021</v>
      </c>
      <c r="G153" s="10" t="inlineStr">
        <is>
          <t>-</t>
        </is>
      </c>
      <c r="H153" s="10" t="inlineStr">
        <is>
          <t>SUS-501/502</t>
        </is>
      </c>
      <c r="I153" s="2" t="inlineStr">
        <is>
          <t>Coeficiente lateral/combinado Fy</t>
        </is>
      </c>
    </row>
    <row r="154">
      <c r="A154" s="4" t="inlineStr">
        <is>
          <t>RBY1</t>
        </is>
      </c>
      <c r="B154" s="42" t="n">
        <v>14.6284</v>
      </c>
      <c r="G154" s="10" t="inlineStr">
        <is>
          <t>-</t>
        </is>
      </c>
      <c r="H154" s="10" t="inlineStr">
        <is>
          <t>SUS-501/502</t>
        </is>
      </c>
      <c r="I154" s="2" t="inlineStr">
        <is>
          <t>Coeficiente lateral/combinado Fy</t>
        </is>
      </c>
    </row>
    <row r="155">
      <c r="A155" s="4" t="inlineStr">
        <is>
          <t>RBY2</t>
        </is>
      </c>
      <c r="B155" s="42" t="n">
        <v>10.4</v>
      </c>
      <c r="G155" s="10" t="inlineStr">
        <is>
          <t>-</t>
        </is>
      </c>
      <c r="H155" s="10" t="inlineStr">
        <is>
          <t>SUS-501/502</t>
        </is>
      </c>
      <c r="I155" s="2" t="inlineStr">
        <is>
          <t>Coeficiente lateral/combinado Fy</t>
        </is>
      </c>
    </row>
    <row r="156">
      <c r="A156" s="4" t="inlineStr">
        <is>
          <t>RBY3</t>
        </is>
      </c>
      <c r="B156" s="42" t="n">
        <v>-0.0204267</v>
      </c>
      <c r="G156" s="10" t="inlineStr">
        <is>
          <t>-</t>
        </is>
      </c>
      <c r="H156" s="10" t="inlineStr">
        <is>
          <t>SUS-501/502</t>
        </is>
      </c>
      <c r="I156" s="2" t="inlineStr">
        <is>
          <t>Coeficiente lateral/combinado Fy</t>
        </is>
      </c>
    </row>
    <row r="157">
      <c r="A157" s="4" t="inlineStr">
        <is>
          <t>RCY1</t>
        </is>
      </c>
      <c r="B157" s="42" t="n">
        <v>1.04408</v>
      </c>
      <c r="G157" s="10" t="inlineStr">
        <is>
          <t>-</t>
        </is>
      </c>
      <c r="H157" s="10" t="inlineStr">
        <is>
          <t>SUS-501/502</t>
        </is>
      </c>
      <c r="I157" s="2" t="inlineStr">
        <is>
          <t>Coeficiente lateral/combinado Fy</t>
        </is>
      </c>
    </row>
    <row r="158">
      <c r="A158" s="4" t="inlineStr">
        <is>
          <t>REY1</t>
        </is>
      </c>
      <c r="B158" s="42" t="n">
        <v>-0.0483501</v>
      </c>
      <c r="G158" s="10" t="inlineStr">
        <is>
          <t>-</t>
        </is>
      </c>
      <c r="H158" s="10" t="inlineStr">
        <is>
          <t>SUS-501/502</t>
        </is>
      </c>
      <c r="I158" s="2" t="inlineStr">
        <is>
          <t>Coeficiente lateral/combinado Fy</t>
        </is>
      </c>
    </row>
    <row r="159">
      <c r="A159" s="4" t="inlineStr">
        <is>
          <t>REY2</t>
        </is>
      </c>
      <c r="B159" s="42" t="n">
        <v>-0.0248675</v>
      </c>
      <c r="G159" s="10" t="inlineStr">
        <is>
          <t>-</t>
        </is>
      </c>
      <c r="H159" s="10" t="inlineStr">
        <is>
          <t>SUS-501/502</t>
        </is>
      </c>
      <c r="I159" s="2" t="inlineStr">
        <is>
          <t>Coeficiente lateral/combinado Fy</t>
        </is>
      </c>
    </row>
    <row r="160">
      <c r="A160" s="4" t="inlineStr">
        <is>
          <t>RHY1</t>
        </is>
      </c>
      <c r="B160" s="42" t="n">
        <v>0.008630789999999999</v>
      </c>
      <c r="G160" s="10" t="inlineStr">
        <is>
          <t>-</t>
        </is>
      </c>
      <c r="H160" s="10" t="inlineStr">
        <is>
          <t>SUS-501/502</t>
        </is>
      </c>
      <c r="I160" s="2" t="inlineStr">
        <is>
          <t>Coeficiente lateral/combinado Fy</t>
        </is>
      </c>
    </row>
    <row r="161">
      <c r="A161" s="4" t="inlineStr">
        <is>
          <t>RHY2</t>
        </is>
      </c>
      <c r="B161" s="42" t="n">
        <v>-0.00727934</v>
      </c>
      <c r="G161" s="10" t="inlineStr">
        <is>
          <t>-</t>
        </is>
      </c>
      <c r="H161" s="10" t="inlineStr">
        <is>
          <t>SUS-501/502</t>
        </is>
      </c>
      <c r="I161" s="2" t="inlineStr">
        <is>
          <t>Coeficiente lateral/combinado Fy</t>
        </is>
      </c>
    </row>
    <row r="162">
      <c r="A162" s="4" t="inlineStr">
        <is>
          <t>RVY1</t>
        </is>
      </c>
      <c r="B162" s="42" t="n">
        <v>0.01</v>
      </c>
      <c r="G162" s="10" t="inlineStr">
        <is>
          <t>-</t>
        </is>
      </c>
      <c r="H162" s="10" t="inlineStr">
        <is>
          <t>SUS-501/502</t>
        </is>
      </c>
      <c r="I162" s="2" t="inlineStr">
        <is>
          <t>Coeficiente lateral/combinado Fy</t>
        </is>
      </c>
    </row>
    <row r="163">
      <c r="A163" s="4" t="inlineStr">
        <is>
          <t>RVY2</t>
        </is>
      </c>
      <c r="B163" s="42" t="n">
        <v>0.00750321</v>
      </c>
      <c r="G163" s="10" t="inlineStr">
        <is>
          <t>-</t>
        </is>
      </c>
      <c r="H163" s="10" t="inlineStr">
        <is>
          <t>SUS-501/502</t>
        </is>
      </c>
      <c r="I163" s="2" t="inlineStr">
        <is>
          <t>Coeficiente lateral/combinado Fy</t>
        </is>
      </c>
    </row>
    <row r="164">
      <c r="A164" s="4" t="inlineStr">
        <is>
          <t>RVY3</t>
        </is>
      </c>
      <c r="B164" s="42" t="n">
        <v>-0.0278462</v>
      </c>
      <c r="G164" s="10" t="inlineStr">
        <is>
          <t>-</t>
        </is>
      </c>
      <c r="H164" s="10" t="inlineStr">
        <is>
          <t>SUS-501/502</t>
        </is>
      </c>
      <c r="I164" s="2" t="inlineStr">
        <is>
          <t>Coeficiente lateral/combinado Fy</t>
        </is>
      </c>
    </row>
    <row r="165">
      <c r="A165" s="4" t="inlineStr">
        <is>
          <t>RVY4</t>
        </is>
      </c>
      <c r="B165" s="42" t="n">
        <v>2.75688e-05</v>
      </c>
      <c r="G165" s="10" t="inlineStr">
        <is>
          <t>-</t>
        </is>
      </c>
      <c r="H165" s="10" t="inlineStr">
        <is>
          <t>SUS-501/502</t>
        </is>
      </c>
      <c r="I165" s="2" t="inlineStr">
        <is>
          <t>Coeficiente lateral/combinado Fy</t>
        </is>
      </c>
    </row>
    <row r="166">
      <c r="A166" s="4" t="inlineStr">
        <is>
          <t>RVY5</t>
        </is>
      </c>
      <c r="B166" s="42" t="n">
        <v>-1.18251</v>
      </c>
      <c r="G166" s="10" t="inlineStr">
        <is>
          <t>-</t>
        </is>
      </c>
      <c r="H166" s="10" t="inlineStr">
        <is>
          <t>SUS-501/502</t>
        </is>
      </c>
      <c r="I166" s="2" t="inlineStr">
        <is>
          <t>Coeficiente lateral/combinado Fy</t>
        </is>
      </c>
    </row>
    <row r="167">
      <c r="A167" s="4" t="inlineStr">
        <is>
          <t>RVY6</t>
        </is>
      </c>
      <c r="B167" s="42" t="n">
        <v>18</v>
      </c>
      <c r="G167" s="10" t="inlineStr">
        <is>
          <t>-</t>
        </is>
      </c>
      <c r="H167" s="10" t="inlineStr">
        <is>
          <t>SUS-501/502</t>
        </is>
      </c>
      <c r="I167" s="2" t="inlineStr">
        <is>
          <t>Coeficiente lateral/combinado Fy</t>
        </is>
      </c>
    </row>
    <row r="168">
      <c r="A168" s="4" t="inlineStr">
        <is>
          <t>PPX1</t>
        </is>
      </c>
      <c r="B168" s="42" t="n">
        <v>0</v>
      </c>
      <c r="G168" s="10" t="inlineStr">
        <is>
          <t>-</t>
        </is>
      </c>
      <c r="H168" s="10" t="inlineStr">
        <is>
          <t>SUS-501/502</t>
        </is>
      </c>
      <c r="I168" s="2" t="inlineStr">
        <is>
          <t>Efeito de pressão (deve ser 0 — não implementado)</t>
        </is>
      </c>
    </row>
    <row r="169">
      <c r="A169" s="4" t="inlineStr">
        <is>
          <t>PPX2</t>
        </is>
      </c>
      <c r="B169" s="42" t="n">
        <v>0</v>
      </c>
      <c r="G169" s="10" t="inlineStr">
        <is>
          <t>-</t>
        </is>
      </c>
      <c r="H169" s="10" t="inlineStr">
        <is>
          <t>SUS-501/502</t>
        </is>
      </c>
      <c r="I169" s="2" t="inlineStr">
        <is>
          <t>Efeito de pressão (deve ser 0 — não implementado)</t>
        </is>
      </c>
    </row>
    <row r="170">
      <c r="A170" s="4" t="inlineStr">
        <is>
          <t>PPX3</t>
        </is>
      </c>
      <c r="B170" s="42" t="n">
        <v>0</v>
      </c>
      <c r="G170" s="10" t="inlineStr">
        <is>
          <t>-</t>
        </is>
      </c>
      <c r="H170" s="10" t="inlineStr">
        <is>
          <t>SUS-501/502</t>
        </is>
      </c>
      <c r="I170" s="2" t="inlineStr">
        <is>
          <t>Efeito de pressão (deve ser 0 — não implementado)</t>
        </is>
      </c>
    </row>
    <row r="171">
      <c r="A171" s="4" t="inlineStr">
        <is>
          <t>PPX4</t>
        </is>
      </c>
      <c r="B171" s="42" t="n">
        <v>0</v>
      </c>
      <c r="G171" s="10" t="inlineStr">
        <is>
          <t>-</t>
        </is>
      </c>
      <c r="H171" s="10" t="inlineStr">
        <is>
          <t>SUS-501/502</t>
        </is>
      </c>
      <c r="I171" s="2" t="inlineStr">
        <is>
          <t>Efeito de pressão (deve ser 0 — não implementado)</t>
        </is>
      </c>
    </row>
    <row r="172">
      <c r="A172" s="4" t="inlineStr">
        <is>
          <t>PPY1</t>
        </is>
      </c>
      <c r="B172" s="42" t="n">
        <v>0</v>
      </c>
      <c r="G172" s="10" t="inlineStr">
        <is>
          <t>-</t>
        </is>
      </c>
      <c r="H172" s="10" t="inlineStr">
        <is>
          <t>SUS-501/502</t>
        </is>
      </c>
      <c r="I172" s="2" t="inlineStr">
        <is>
          <t>Efeito de pressão (deve ser 0 — não implementado)</t>
        </is>
      </c>
    </row>
    <row r="173">
      <c r="A173" s="4" t="inlineStr">
        <is>
          <t>PPY2</t>
        </is>
      </c>
      <c r="B173" s="42" t="n">
        <v>0</v>
      </c>
      <c r="G173" s="10" t="inlineStr">
        <is>
          <t>-</t>
        </is>
      </c>
      <c r="H173" s="10" t="inlineStr">
        <is>
          <t>SUS-501/502</t>
        </is>
      </c>
      <c r="I173" s="2" t="inlineStr">
        <is>
          <t>Efeito de pressão (deve ser 0 — não implementado)</t>
        </is>
      </c>
    </row>
    <row r="174">
      <c r="A174" s="4" t="inlineStr">
        <is>
          <t>PPY3</t>
        </is>
      </c>
      <c r="B174" s="42" t="n">
        <v>0</v>
      </c>
      <c r="G174" s="10" t="inlineStr">
        <is>
          <t>-</t>
        </is>
      </c>
      <c r="H174" s="10" t="inlineStr">
        <is>
          <t>SUS-501/502</t>
        </is>
      </c>
      <c r="I174" s="2" t="inlineStr">
        <is>
          <t>Efeito de pressão (deve ser 0 — não implementado)</t>
        </is>
      </c>
    </row>
    <row r="175">
      <c r="A175" s="4" t="inlineStr">
        <is>
          <t>PPY4</t>
        </is>
      </c>
      <c r="B175" s="42" t="n">
        <v>0</v>
      </c>
      <c r="G175" s="10" t="inlineStr">
        <is>
          <t>-</t>
        </is>
      </c>
      <c r="H175" s="10" t="inlineStr">
        <is>
          <t>SUS-501/502</t>
        </is>
      </c>
      <c r="I175" s="2" t="inlineStr">
        <is>
          <t>Efeito de pressão (deve ser 0 — não implementado)</t>
        </is>
      </c>
    </row>
    <row r="176">
      <c r="A176" s="4" t="inlineStr">
        <is>
          <t>ε (guarda de divisão por zero em Bx, By)</t>
        </is>
      </c>
      <c r="B176" s="9" t="n">
        <v>1e-06</v>
      </c>
      <c r="G176" s="10" t="inlineStr">
        <is>
          <t>-</t>
        </is>
      </c>
      <c r="H176" s="10" t="inlineStr">
        <is>
          <t>SUS-501/502</t>
        </is>
      </c>
      <c r="I176" s="2" t="inlineStr">
        <is>
          <t>Hipótese de implementação (mesmo valor em tire_model_V2_2.py); efeito desprezível frente a Cx·Dx.</t>
        </is>
      </c>
    </row>
  </sheetData>
  <mergeCells count="10">
    <mergeCell ref="A19:I19"/>
    <mergeCell ref="A85:I85"/>
    <mergeCell ref="A28:I28"/>
    <mergeCell ref="A42:I42"/>
    <mergeCell ref="A1:I1"/>
    <mergeCell ref="A67:I67"/>
    <mergeCell ref="A3:I3"/>
    <mergeCell ref="A34:I34"/>
    <mergeCell ref="A4:I4"/>
    <mergeCell ref="A54:I54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11_DESIGN — Design Mode</t>
        </is>
      </c>
    </row>
    <row r="3">
      <c r="A3" s="3" t="inlineStr">
        <is>
          <t>Target de frequência (TARGET-XXX)</t>
        </is>
      </c>
    </row>
    <row r="4">
      <c r="A4" s="4" t="inlineStr">
        <is>
          <t>Frequência-alvo dianteira</t>
        </is>
      </c>
      <c r="B4" s="20" t="n">
        <v>2.5</v>
      </c>
      <c r="C4" s="10" t="inlineStr">
        <is>
          <t>Hz</t>
        </is>
      </c>
      <c r="D4" s="10" t="inlineStr">
        <is>
          <t>TARGET-001</t>
        </is>
      </c>
    </row>
    <row r="5">
      <c r="A5" s="4" t="inlineStr">
        <is>
          <t>Frequência-alvo traseira</t>
        </is>
      </c>
      <c r="B5" s="20" t="n">
        <v>2.7</v>
      </c>
      <c r="C5" s="10" t="inlineStr">
        <is>
          <t>Hz</t>
        </is>
      </c>
      <c r="D5" s="10" t="inlineStr">
        <is>
          <t>TARGET-002</t>
        </is>
      </c>
    </row>
    <row r="7">
      <c r="A7" s="3" t="inlineStr">
        <is>
          <t>Rigidez necessária (equação reversa, SUS-205/212/202; pneu em série)</t>
        </is>
      </c>
    </row>
    <row r="8">
      <c r="A8" s="4" t="inlineStr">
        <is>
          <t>Wheel Rate necessário - dianteira (K_R alvo -&gt; K_W = K_R·K_T/(K_T − K_R))</t>
        </is>
      </c>
      <c r="B8" s="21">
        <f>(2*PI()*'11_DESIGN'!$B$4)^2*'06_SUSPENSION'!$B$28*'06_SUSPENSION'!$B$47/('06_SUSPENSION'!$B$47-(2*PI()*'11_DESIGN'!$B$4)^2*'06_SUSPENSION'!$B$28)</f>
        <v/>
      </c>
      <c r="C8" s="10" t="inlineStr">
        <is>
          <t>N/m</t>
        </is>
      </c>
      <c r="D8" s="10" t="inlineStr">
        <is>
          <t>SUS-205</t>
        </is>
      </c>
    </row>
    <row r="9">
      <c r="A9" s="4" t="inlineStr">
        <is>
          <t>Wheel Rate necessário - traseira (K_R alvo -&gt; K_W = K_R·K_T/(K_T − K_R))</t>
        </is>
      </c>
      <c r="B9" s="21">
        <f>(2*PI()*'11_DESIGN'!$B$5)^2*'06_SUSPENSION'!$B$29*'06_SUSPENSION'!$B$48/('06_SUSPENSION'!$B$48-(2*PI()*'11_DESIGN'!$B$5)^2*'06_SUSPENSION'!$B$29)</f>
        <v/>
      </c>
      <c r="C9" s="10" t="inlineStr">
        <is>
          <t>N/m</t>
        </is>
      </c>
      <c r="D9" s="10" t="inlineStr">
        <is>
          <t>SUS-205</t>
        </is>
      </c>
    </row>
    <row r="10">
      <c r="A10" s="4" t="inlineStr">
        <is>
          <t>Spring Rate necessário - dianteira</t>
        </is>
      </c>
      <c r="B10" s="21">
        <f>'11_DESIGN'!$B$8*'06_SUSPENSION'!$B$6^2</f>
        <v/>
      </c>
      <c r="C10" s="10" t="inlineStr">
        <is>
          <t>N/m</t>
        </is>
      </c>
      <c r="D10" s="10" t="inlineStr">
        <is>
          <t>SUS-202</t>
        </is>
      </c>
    </row>
    <row r="11">
      <c r="A11" s="4" t="inlineStr">
        <is>
          <t>Spring Rate necessário - traseira</t>
        </is>
      </c>
      <c r="B11" s="21">
        <f>'11_DESIGN'!$B$9*'06_SUSPENSION'!$B$7^2</f>
        <v/>
      </c>
      <c r="C11" s="10" t="inlineStr">
        <is>
          <t>N/m</t>
        </is>
      </c>
      <c r="D11" s="10" t="inlineStr">
        <is>
          <t>SUS-202</t>
        </is>
      </c>
    </row>
    <row r="13">
      <c r="A13" s="3" t="inlineStr">
        <is>
          <t>Comparação com o Spring Rate atual (06_SUSPENSION)</t>
        </is>
      </c>
    </row>
    <row r="14">
      <c r="A14" s="4" t="inlineStr">
        <is>
          <t>Diferença dianteira (necessário - atual)</t>
        </is>
      </c>
      <c r="B14" s="21">
        <f>'11_DESIGN'!$B$10-'06_SUSPENSION'!$B$4</f>
        <v/>
      </c>
      <c r="C14" s="10" t="inlineStr">
        <is>
          <t>N/m</t>
        </is>
      </c>
      <c r="D14" s="10" t="inlineStr">
        <is>
          <t>-</t>
        </is>
      </c>
    </row>
    <row r="15">
      <c r="A15" s="4" t="inlineStr">
        <is>
          <t>Diferença traseira (necessário - atual)</t>
        </is>
      </c>
      <c r="B15" s="21">
        <f>'11_DESIGN'!$B$11-'06_SUSPENSION'!$B$5</f>
        <v/>
      </c>
      <c r="C15" s="10" t="inlineStr">
        <is>
          <t>N/m</t>
        </is>
      </c>
      <c r="D15" s="10" t="inlineStr">
        <is>
          <t>-</t>
        </is>
      </c>
    </row>
    <row r="17">
      <c r="A17" s="3" t="inlineStr">
        <is>
          <t>Target de Roll Stiffness Distribution (equação reversa, SUS-208 — DRAFT, ver Engineering Standard)</t>
        </is>
      </c>
    </row>
    <row r="18">
      <c r="A18" s="4" t="inlineStr">
        <is>
          <t>lambda_f alvo</t>
        </is>
      </c>
      <c r="B18" s="20" t="n">
        <v>0.55</v>
      </c>
      <c r="C18" s="10" t="inlineStr">
        <is>
          <t>-</t>
        </is>
      </c>
      <c r="D18" s="10" t="inlineStr">
        <is>
          <t>TARGET-003</t>
        </is>
      </c>
    </row>
    <row r="19">
      <c r="A19" s="4" t="inlineStr">
        <is>
          <t>Roll Stiffness dianteira necessária (K_phiF total)</t>
        </is>
      </c>
      <c r="B19" s="21">
        <f>('11_DESIGN'!$B$18/(1-'11_DESIGN'!$B$18))*'06_SUSPENSION'!$B$23</f>
        <v/>
      </c>
      <c r="C19" s="10" t="inlineStr">
        <is>
          <t>N*m/rad</t>
        </is>
      </c>
      <c r="D19" s="10" t="inlineStr">
        <is>
          <t>SUS-208</t>
        </is>
      </c>
    </row>
    <row r="20">
      <c r="A20" s="4" t="inlineStr">
        <is>
          <t>K_ARB dianteiro necessário (com o pneu em série)</t>
        </is>
      </c>
      <c r="B20" s="21">
        <f>'11_DESIGN'!$B$19*'06_SUSPENSION'!$B$51/('06_SUSPENSION'!$B$51-'11_DESIGN'!$B$19)-'06_SUSPENSION'!$B$20</f>
        <v/>
      </c>
      <c r="C20" s="10" t="inlineStr">
        <is>
          <t>N*m/rad</t>
        </is>
      </c>
      <c r="D20" s="10" t="inlineStr">
        <is>
          <t>SUS-206</t>
        </is>
      </c>
    </row>
    <row r="21">
      <c r="A21" s="4" t="inlineStr">
        <is>
          <t>Diferença K_ARB dianteiro (necessário - atual)</t>
        </is>
      </c>
      <c r="B21" s="21">
        <f>'11_DESIGN'!$B$20-'06_SUSPENSION'!$B$10</f>
        <v/>
      </c>
      <c r="C21" s="10" t="inlineStr">
        <is>
          <t>N*m/rad</t>
        </is>
      </c>
      <c r="D21" s="10" t="inlineStr">
        <is>
          <t>-</t>
        </is>
      </c>
    </row>
  </sheetData>
  <mergeCells count="5">
    <mergeCell ref="A7:E7"/>
    <mergeCell ref="A1:E1"/>
    <mergeCell ref="A13:E13"/>
    <mergeCell ref="A17:E17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12_COMPARISON</t>
        </is>
      </c>
    </row>
    <row r="3">
      <c r="A3" s="3" t="inlineStr">
        <is>
          <t>Comparação entre Setups/alternativas — vazio até existir mais de um Setup real</t>
        </is>
      </c>
    </row>
    <row r="4">
      <c r="A4" s="2" t="inlineStr">
        <is>
          <t>Estrutura reservada. Nao ha ainda um segundo Setup real do Design Case para comparar contra o Baseline.</t>
        </is>
      </c>
    </row>
    <row r="5">
      <c r="A5" s="2" t="inlineStr">
        <is>
          <t>Preencher quando houver pelo menos duas configuracoes concretas a comparar (evita aba decorativa vazia).</t>
        </is>
      </c>
    </row>
  </sheetData>
  <mergeCells count="4">
    <mergeCell ref="A1:E1"/>
    <mergeCell ref="A4:E4"/>
    <mergeCell ref="A5:E5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13_VALIDATION</t>
        </is>
      </c>
    </row>
    <row r="3">
      <c r="A3" s="3" t="inlineStr">
        <is>
          <t>Self-checks de conservação (equivalentes a TC-004 / TC-005 / lambda)</t>
        </is>
      </c>
    </row>
    <row r="4">
      <c r="A4" s="4" t="inlineStr">
        <is>
          <t>TC-004: Sum(Fz) - (W+Faero) [deve ser ~0]</t>
        </is>
      </c>
      <c r="B4" s="21">
        <f>'09_LOADS'!$B$31+'09_LOADS'!$B$32+'09_LOADS'!$B$33+'09_LOADS'!$B$34-('05_VEHICLE'!$B$4*9.81+'08_VEHICLE_STATE'!$B$8)</f>
        <v/>
      </c>
      <c r="C4" s="10" t="inlineStr">
        <is>
          <t>N</t>
        </is>
      </c>
      <c r="D4" s="10" t="inlineStr">
        <is>
          <t>TC-004</t>
        </is>
      </c>
    </row>
    <row r="5">
      <c r="A5" s="4" t="inlineStr">
        <is>
          <t>Status TC-004</t>
        </is>
      </c>
      <c r="B5" s="21">
        <f>IF(ABS('13_VALIDATION'!$B$4)&lt;0.01,"PASS","FAIL")</f>
        <v/>
      </c>
      <c r="C5" s="10" t="inlineStr">
        <is>
          <t>-</t>
        </is>
      </c>
      <c r="D5" s="10" t="inlineStr">
        <is>
          <t>-</t>
        </is>
      </c>
    </row>
    <row r="6">
      <c r="A6" s="4" t="inlineStr">
        <is>
          <t>TC-005: t_F*dFzF + t_R*dFzR - m*ay*h_CG - m_s*g*h2*φ [deve ser ~0]</t>
        </is>
      </c>
      <c r="B6" s="21">
        <f>'05_VEHICLE'!$B$7*'09_LOADS'!$B$19+'05_VEHICLE'!$B$8*'09_LOADS'!$B$20-'05_VEHICLE'!$B$4*'08_VEHICLE_STATE'!$B$5*'05_VEHICLE'!$B$5-'05_VEHICLE'!$B$23*9.81*('05_VEHICLE'!$B$24-'09_LOADS'!$B$18)*'09_LOADS'!$B$21</f>
        <v/>
      </c>
      <c r="C6" s="10" t="inlineStr">
        <is>
          <t>N*m</t>
        </is>
      </c>
      <c r="D6" s="10" t="inlineStr">
        <is>
          <t>TC-005</t>
        </is>
      </c>
    </row>
    <row r="7">
      <c r="A7" s="4" t="inlineStr">
        <is>
          <t>Status TC-005</t>
        </is>
      </c>
      <c r="B7" s="21">
        <f>IF(ABS('13_VALIDATION'!$B$6)&lt;0.01,"PASS","FAIL")</f>
        <v/>
      </c>
      <c r="C7" s="10" t="inlineStr">
        <is>
          <t>-</t>
        </is>
      </c>
      <c r="D7" s="10" t="inlineStr">
        <is>
          <t>-</t>
        </is>
      </c>
    </row>
    <row r="8">
      <c r="A8" s="4" t="inlineStr">
        <is>
          <t>Checagem: lambda_f + lambda_r = 1</t>
        </is>
      </c>
      <c r="B8" s="21">
        <f>'06_SUSPENSION'!$B$24+'06_SUSPENSION'!$B$25</f>
        <v/>
      </c>
      <c r="C8" s="10" t="inlineStr">
        <is>
          <t>-</t>
        </is>
      </c>
      <c r="D8" s="10" t="inlineStr">
        <is>
          <t>SUS-208</t>
        </is>
      </c>
    </row>
    <row r="10">
      <c r="A10" s="3" t="inlineStr">
        <is>
          <t>Plausibilidade — perda de contato (Fz &lt; 0 invalida o modelo linear, ver SUS-104)</t>
        </is>
      </c>
    </row>
    <row r="11">
      <c r="A11" s="4" t="inlineStr">
        <is>
          <t>Fz FL &gt;= 0 ?</t>
        </is>
      </c>
      <c r="B11" s="21">
        <f>IF('09_LOADS'!$B$31&gt;=0,"OK","WARNING: perda de contato")</f>
        <v/>
      </c>
      <c r="C11" s="10" t="inlineStr">
        <is>
          <t>-</t>
        </is>
      </c>
      <c r="D11" s="10" t="inlineStr">
        <is>
          <t>-</t>
        </is>
      </c>
    </row>
    <row r="12">
      <c r="A12" s="4" t="inlineStr">
        <is>
          <t>Fz FR &gt;= 0 ?</t>
        </is>
      </c>
      <c r="B12" s="21">
        <f>IF('09_LOADS'!$B$32&gt;=0,"OK","WARNING: perda de contato")</f>
        <v/>
      </c>
      <c r="C12" s="10" t="inlineStr">
        <is>
          <t>-</t>
        </is>
      </c>
      <c r="D12" s="10" t="inlineStr">
        <is>
          <t>-</t>
        </is>
      </c>
    </row>
    <row r="13">
      <c r="A13" s="4" t="inlineStr">
        <is>
          <t>Fz RL &gt;= 0 ?</t>
        </is>
      </c>
      <c r="B13" s="21">
        <f>IF('09_LOADS'!$B$33&gt;=0,"OK","WARNING: perda de contato")</f>
        <v/>
      </c>
      <c r="C13" s="10" t="inlineStr">
        <is>
          <t>-</t>
        </is>
      </c>
      <c r="D13" s="10" t="inlineStr">
        <is>
          <t>-</t>
        </is>
      </c>
    </row>
    <row r="14">
      <c r="A14" s="4" t="inlineStr">
        <is>
          <t>Fz RR &gt;= 0 ?</t>
        </is>
      </c>
      <c r="B14" s="21">
        <f>IF('09_LOADS'!$B$34&gt;=0,"OK","WARNING: perda de contato")</f>
        <v/>
      </c>
      <c r="C14" s="10" t="inlineStr">
        <is>
          <t>-</t>
        </is>
      </c>
      <c r="D14" s="10" t="inlineStr">
        <is>
          <t>-</t>
        </is>
      </c>
    </row>
    <row r="16">
      <c r="A16" s="3" t="inlineStr">
        <is>
          <t>Checagem contra Requirements (02_REQUIREMENTS)</t>
        </is>
      </c>
    </row>
    <row r="17">
      <c r="A17" s="4" t="inlineStr">
        <is>
          <t>tan(ângulo de tombamento) — usa a MENOR bitola (pior caso)</t>
        </is>
      </c>
      <c r="B17" s="21">
        <f>(MIN('05_VEHICLE'!$B$7,'05_VEHICLE'!$B$8)/2)/'05_VEHICLE'!$B$5</f>
        <v/>
      </c>
      <c r="C17" s="10" t="inlineStr">
        <is>
          <t>-</t>
        </is>
      </c>
      <c r="D17" s="10" t="inlineStr">
        <is>
          <t>REQ-003</t>
        </is>
      </c>
    </row>
    <row r="18">
      <c r="A18" s="4" t="inlineStr">
        <is>
          <t>Ângulo de tombamento (graus)</t>
        </is>
      </c>
      <c r="B18" s="21">
        <f>DEGREES(ATAN('13_VALIDATION'!$B$17))</f>
        <v/>
      </c>
      <c r="C18" s="10" t="inlineStr">
        <is>
          <t>deg</t>
        </is>
      </c>
      <c r="D18" s="10" t="inlineStr">
        <is>
          <t>REQ-003</t>
        </is>
      </c>
    </row>
    <row r="19">
      <c r="A19" s="4" t="inlineStr">
        <is>
          <t>Status REQ-003 (Tilt Test, mínimo 60°)</t>
        </is>
      </c>
      <c r="B19" s="21">
        <f>IF('13_VALIDATION'!$B$18&gt;=60,"PASS","FAIL - risco de reprovacao no Tilt Test")</f>
        <v/>
      </c>
      <c r="C19" s="10" t="inlineStr">
        <is>
          <t>-</t>
        </is>
      </c>
      <c r="D19" s="10" t="inlineStr">
        <is>
          <t>REQ-003</t>
        </is>
      </c>
    </row>
    <row r="21">
      <c r="A21" s="4" t="inlineStr">
        <is>
          <t>Status REQ-004 (curso dianteiro, mínimo 50mm)</t>
        </is>
      </c>
      <c r="B21" s="21">
        <f>IF('07_KINEMATICS'!$B$31&gt;=50,"PASS","FAIL")</f>
        <v/>
      </c>
      <c r="C21" s="10" t="inlineStr">
        <is>
          <t>-</t>
        </is>
      </c>
      <c r="D21" s="10" t="inlineStr">
        <is>
          <t>REQ-004</t>
        </is>
      </c>
    </row>
    <row r="22">
      <c r="A22" s="4" t="inlineStr">
        <is>
          <t>Status REQ-004 (curso traseiro, mínimo 50mm)</t>
        </is>
      </c>
      <c r="B22" s="21">
        <f>IF('07_KINEMATICS'!$B$32&gt;=50,"PASS","FAIL")</f>
        <v/>
      </c>
      <c r="C22" s="10" t="inlineStr">
        <is>
          <t>-</t>
        </is>
      </c>
      <c r="D22" s="10" t="inlineStr">
        <is>
          <t>REQ-004</t>
        </is>
      </c>
    </row>
    <row r="24">
      <c r="A24" s="3" t="inlineStr">
        <is>
          <t>Referência — resultado do piloto Python (atualizar manualmente até o bridge existir)</t>
        </is>
      </c>
    </row>
    <row r="25">
      <c r="A25" s="2" t="inlineStr">
        <is>
          <t>16/16 Test Cases PASS em suspension_model_V2_0.py / test_suspension_model_V2_0.py (ver Engineering Standard V2.0, Log de Validação)</t>
        </is>
      </c>
    </row>
    <row r="26">
      <c r="A26" s="2" t="inlineStr">
        <is>
          <t>Piloto de referência: MR=0.8, Ks=100 N/mm, ms=50 kg, pneu rígido -&gt; fn=8.897 Hz (verificado)</t>
        </is>
      </c>
    </row>
    <row r="28">
      <c r="A28" s="3" t="inlineStr">
        <is>
          <t>Checagem adicional de requisitos (V2.1) — REQ-001 e REQ-002 (02_REQUIREMENTS; Rulebook V.1.2 e V.1.3.2)</t>
        </is>
      </c>
    </row>
    <row r="29">
      <c r="A29" s="4" t="inlineStr">
        <is>
          <t>Wheelbase (mm) — a partir de 05_VEHICLE!B6</t>
        </is>
      </c>
      <c r="B29" s="21">
        <f>IF(ISNUMBER('05_VEHICLE'!$B$6),'05_VEHICLE'!$B$6*1000,"N/A")</f>
        <v/>
      </c>
      <c r="C29" s="10" t="inlineStr">
        <is>
          <t>mm</t>
        </is>
      </c>
      <c r="D29" s="10" t="inlineStr">
        <is>
          <t>REQ-001</t>
        </is>
      </c>
    </row>
    <row r="30">
      <c r="A30" s="4" t="inlineStr">
        <is>
          <t>Status REQ-001 (wheelbase mínimo 1525 mm)</t>
        </is>
      </c>
      <c r="B30" s="21">
        <f>IF(ISNUMBER($B$29),IF($B$29&gt;=1525,"PASS","FAIL - wheelbase abaixo do mínimo (V.1.2)"),"N/A - dado ausente")</f>
        <v/>
      </c>
      <c r="C30" s="10" t="inlineStr">
        <is>
          <t>-</t>
        </is>
      </c>
      <c r="D30" s="10" t="inlineStr">
        <is>
          <t>REQ-001</t>
        </is>
      </c>
    </row>
    <row r="31">
      <c r="A31" s="4" t="inlineStr">
        <is>
          <t>Razão entre bitolas (menor/maior) — 05_VEHICLE!B7 e B8</t>
        </is>
      </c>
      <c r="B31" s="21">
        <f>IF(AND(ISNUMBER('05_VEHICLE'!$B$7),ISNUMBER('05_VEHICLE'!$B$8)),MIN('05_VEHICLE'!$B$7,'05_VEHICLE'!$B$8)/MAX('05_VEHICLE'!$B$7,'05_VEHICLE'!$B$8),"N/A")</f>
        <v/>
      </c>
      <c r="C31" s="10" t="inlineStr">
        <is>
          <t>-</t>
        </is>
      </c>
      <c r="D31" s="10" t="inlineStr">
        <is>
          <t>REQ-002</t>
        </is>
      </c>
    </row>
    <row r="32">
      <c r="A32" s="4" t="inlineStr">
        <is>
          <t>Status REQ-002 (razão de bitolas mínima 0,75)</t>
        </is>
      </c>
      <c r="B32" s="21">
        <f>IF(ISNUMBER($B$31),IF($B$31&gt;=0.75,"PASS","FAIL - razão de bitolas abaixo de 0,75 (V.1.3.2)"),"N/A - dado ausente")</f>
        <v/>
      </c>
      <c r="C32" s="10" t="inlineStr">
        <is>
          <t>-</t>
        </is>
      </c>
      <c r="D32" s="10" t="inlineStr">
        <is>
          <t>REQ-002</t>
        </is>
      </c>
    </row>
    <row r="33">
      <c r="A33" s="2" t="inlineStr">
        <is>
          <t>Dados de entrada: E05 Key Parameters (comentários de 05_VEHICLE B6/B7/B8) — especificação, não medição independente. Estado de validação: NOT_VALIDATED (sem medição física).</t>
        </is>
      </c>
    </row>
    <row r="35">
      <c r="A35" s="3" t="inlineStr">
        <is>
          <t>Pneu (V2.2) — SUS-501/502/503; dataset TTC PROVISÓRIO (10_TIRE, DR-013). Sem comparação com OptimumTire/TTC: Validation = NOT_VALIDATED</t>
        </is>
      </c>
    </row>
    <row r="36">
      <c r="A36" s="4" t="inlineStr">
        <is>
          <t>Dataset de pneu: validade formal (IP=IP_NOM, PP*=0, faixas)</t>
        </is>
      </c>
      <c r="B36" s="21">
        <f>'10_TIRE'!$B$17</f>
        <v/>
      </c>
      <c r="C36" s="10" t="inlineStr">
        <is>
          <t>-</t>
        </is>
      </c>
      <c r="D36" s="10" t="inlineStr">
        <is>
          <t>SUS-501</t>
        </is>
      </c>
    </row>
    <row r="37">
      <c r="A37" s="4" t="inlineStr">
        <is>
          <t>Referência Python — Fx do caso VERIF [N] (resultado de código)</t>
        </is>
      </c>
      <c r="B37" s="43" t="n">
        <v>1526.925056930066</v>
      </c>
      <c r="C37" s="10" t="inlineStr">
        <is>
          <t>N</t>
        </is>
      </c>
      <c r="D37" s="10" t="inlineStr">
        <is>
          <t>SUS-502</t>
        </is>
      </c>
    </row>
    <row r="38">
      <c r="A38" s="4" t="inlineStr">
        <is>
          <t>Referência Python — Fy do caso VERIF [N] (resultado de código)</t>
        </is>
      </c>
      <c r="B38" s="43" t="n">
        <v>-1131.864312874941</v>
      </c>
      <c r="C38" s="10" t="inlineStr">
        <is>
          <t>N</t>
        </is>
      </c>
      <c r="D38" s="10" t="inlineStr">
        <is>
          <t>SUS-501</t>
        </is>
      </c>
    </row>
    <row r="39">
      <c r="A39" s="4" t="inlineStr">
        <is>
          <t>Referência Python — μ_eff do caso VERIF (resultado de código)</t>
        </is>
      </c>
      <c r="B39" s="43" t="n">
        <v>2.715269352685693</v>
      </c>
      <c r="C39" s="10" t="inlineStr">
        <is>
          <t>-</t>
        </is>
      </c>
      <c r="D39" s="10" t="inlineStr">
        <is>
          <t>SUS-503</t>
        </is>
      </c>
    </row>
    <row r="40">
      <c r="A40" s="4" t="inlineStr">
        <is>
          <t>Status: Fx Excel (10_TIRE!F) vs Python — tol. numérica 1e-6 relativa</t>
        </is>
      </c>
      <c r="B40" s="21">
        <f>IF(ISNUMBER('10_TIRE'!$F$29),IF(ABS('10_TIRE'!$F$29-$B$37)&lt;=0.000001*MAX(1,ABS($B$37)),"PASS","FAIL - Excel diverge do Python"),"N/A - caso VERIF fora da faixa ou dataset inválido")</f>
        <v/>
      </c>
      <c r="C40" s="10" t="inlineStr">
        <is>
          <t>-</t>
        </is>
      </c>
      <c r="D40" s="10" t="inlineStr">
        <is>
          <t>SUS-502</t>
        </is>
      </c>
    </row>
    <row r="41">
      <c r="A41" s="4" t="inlineStr">
        <is>
          <t>Status: Fy Excel vs Python — tol. numérica 1e-6 relativa</t>
        </is>
      </c>
      <c r="B41" s="21">
        <f>IF(ISNUMBER('10_TIRE'!$F$30),IF(ABS('10_TIRE'!$F$30-$B$38)&lt;=0.000001*MAX(1,ABS($B$38)),"PASS","FAIL - Excel diverge do Python"),"N/A - caso VERIF fora da faixa ou dataset inválido")</f>
        <v/>
      </c>
      <c r="C41" s="10" t="inlineStr">
        <is>
          <t>-</t>
        </is>
      </c>
      <c r="D41" s="10" t="inlineStr">
        <is>
          <t>SUS-501</t>
        </is>
      </c>
    </row>
    <row r="42">
      <c r="A42" s="4" t="inlineStr">
        <is>
          <t>Status: μ_eff Excel vs Python — tol. numérica 1e-6 relativa</t>
        </is>
      </c>
      <c r="B42" s="21">
        <f>IF(ISNUMBER('10_TIRE'!$F$31),IF(ABS('10_TIRE'!$F$31-$B$39)&lt;=0.000001*MAX(1,ABS($B$39)),"PASS","FAIL - Excel diverge do Python"),"N/A - caso VERIF fora da faixa ou dataset inválido")</f>
        <v/>
      </c>
      <c r="C42" s="10" t="inlineStr">
        <is>
          <t>-</t>
        </is>
      </c>
      <c r="D42" s="10" t="inlineStr">
        <is>
          <t>SUS-503</t>
        </is>
      </c>
    </row>
    <row r="43">
      <c r="A43" s="4" t="inlineStr">
        <is>
          <t>Cantos com resultado de pneu válido (de 4, 10_TIRE)</t>
        </is>
      </c>
      <c r="B43" s="41">
        <f>COUNTIF('10_TIRE'!$B$26:$E$26,"OK")</f>
        <v/>
      </c>
      <c r="C43" s="10" t="inlineStr">
        <is>
          <t>-</t>
        </is>
      </c>
      <c r="D43" s="10" t="inlineStr">
        <is>
          <t>SUS-501</t>
        </is>
      </c>
    </row>
    <row r="44" ht="52" customHeight="1">
      <c r="A44" s="2" t="inlineStr">
        <is>
          <t>Tolerâncias: numérica = 1e-6 relativa (mesmas equações em dupla implementação; não há referência externa); de engenharia = NÃO DEFINIDA (exige OptimumTire/TTC). PASS aqui = Excel reproduz Python, NÃO validação física. Python: 34/34 testes + 5/5 contra 2 códigos de terceiros (Racer CalcMF52; MFeval MF5.2) — concordância de TRANSCRIÇÃO, não validação física nem contra o livro.</t>
        </is>
      </c>
    </row>
  </sheetData>
  <mergeCells count="10">
    <mergeCell ref="A35:E35"/>
    <mergeCell ref="A26:E26"/>
    <mergeCell ref="A24:E24"/>
    <mergeCell ref="A16:E16"/>
    <mergeCell ref="A10:E10"/>
    <mergeCell ref="A25:E25"/>
    <mergeCell ref="A28:E28"/>
    <mergeCell ref="A1:E1"/>
    <mergeCell ref="A44:E44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14_DASHBOARD</t>
        </is>
      </c>
    </row>
    <row r="3">
      <c r="A3" s="3" t="inlineStr">
        <is>
          <t>Setup ativo</t>
        </is>
      </c>
    </row>
    <row r="4">
      <c r="A4" s="4" t="inlineStr">
        <is>
          <t>Setup</t>
        </is>
      </c>
      <c r="B4" s="21">
        <f>'01_SETUP'!$B$4&amp;" - "&amp;'01_SETUP'!$B$5</f>
        <v/>
      </c>
      <c r="C4" s="10" t="inlineStr">
        <is>
          <t>-</t>
        </is>
      </c>
      <c r="D4" s="10" t="inlineStr">
        <is>
          <t>-</t>
        </is>
      </c>
    </row>
    <row r="6">
      <c r="A6" s="3" t="inlineStr">
        <is>
          <t>Fz por canto (N)</t>
        </is>
      </c>
    </row>
    <row r="7">
      <c r="A7" s="4" t="inlineStr">
        <is>
          <t>Fz FL</t>
        </is>
      </c>
      <c r="B7" s="21">
        <f>'09_LOADS'!$B$31</f>
        <v/>
      </c>
      <c r="C7" s="10" t="inlineStr">
        <is>
          <t>N</t>
        </is>
      </c>
      <c r="D7" s="10" t="inlineStr">
        <is>
          <t>SUS-104</t>
        </is>
      </c>
    </row>
    <row r="8">
      <c r="A8" s="4" t="inlineStr">
        <is>
          <t>Fz FR</t>
        </is>
      </c>
      <c r="B8" s="21">
        <f>'09_LOADS'!$B$32</f>
        <v/>
      </c>
      <c r="C8" s="10" t="inlineStr">
        <is>
          <t>N</t>
        </is>
      </c>
      <c r="D8" s="10" t="inlineStr">
        <is>
          <t>SUS-104</t>
        </is>
      </c>
    </row>
    <row r="9">
      <c r="A9" s="4" t="inlineStr">
        <is>
          <t>Fz RL</t>
        </is>
      </c>
      <c r="B9" s="21">
        <f>'09_LOADS'!$B$33</f>
        <v/>
      </c>
      <c r="C9" s="10" t="inlineStr">
        <is>
          <t>N</t>
        </is>
      </c>
      <c r="D9" s="10" t="inlineStr">
        <is>
          <t>SUS-104</t>
        </is>
      </c>
    </row>
    <row r="10">
      <c r="A10" s="4" t="inlineStr">
        <is>
          <t>Fz RR</t>
        </is>
      </c>
      <c r="B10" s="21">
        <f>'09_LOADS'!$B$34</f>
        <v/>
      </c>
      <c r="C10" s="10" t="inlineStr">
        <is>
          <t>N</t>
        </is>
      </c>
      <c r="D10" s="10" t="inlineStr">
        <is>
          <t>SUS-104</t>
        </is>
      </c>
    </row>
    <row r="12">
      <c r="A12" s="3" t="inlineStr">
        <is>
          <t>Rigidez e Frequência</t>
        </is>
      </c>
    </row>
    <row r="13">
      <c r="A13" s="4" t="inlineStr">
        <is>
          <t>Wheel Rate dianteiro</t>
        </is>
      </c>
      <c r="B13" s="21">
        <f>'06_SUSPENSION'!$B$18</f>
        <v/>
      </c>
      <c r="C13" s="10" t="inlineStr">
        <is>
          <t>N/m</t>
        </is>
      </c>
      <c r="D13" s="10" t="inlineStr">
        <is>
          <t>SUS-202</t>
        </is>
      </c>
    </row>
    <row r="14">
      <c r="A14" s="4" t="inlineStr">
        <is>
          <t>Wheel Rate traseiro</t>
        </is>
      </c>
      <c r="B14" s="21">
        <f>'06_SUSPENSION'!$B$19</f>
        <v/>
      </c>
      <c r="C14" s="10" t="inlineStr">
        <is>
          <t>N/m</t>
        </is>
      </c>
      <c r="D14" s="10" t="inlineStr">
        <is>
          <t>SUS-202</t>
        </is>
      </c>
    </row>
    <row r="15">
      <c r="A15" s="4" t="inlineStr">
        <is>
          <t>Frequência Natural dianteira</t>
        </is>
      </c>
      <c r="B15" s="21">
        <f>'06_SUSPENSION'!$B$32</f>
        <v/>
      </c>
      <c r="C15" s="10" t="inlineStr">
        <is>
          <t>Hz</t>
        </is>
      </c>
      <c r="D15" s="10" t="inlineStr">
        <is>
          <t>SUS-205</t>
        </is>
      </c>
    </row>
    <row r="16">
      <c r="A16" s="4" t="inlineStr">
        <is>
          <t>Frequência Natural traseira</t>
        </is>
      </c>
      <c r="B16" s="21">
        <f>'06_SUSPENSION'!$B$33</f>
        <v/>
      </c>
      <c r="C16" s="10" t="inlineStr">
        <is>
          <t>Hz</t>
        </is>
      </c>
      <c r="D16" s="10" t="inlineStr">
        <is>
          <t>SUS-205</t>
        </is>
      </c>
    </row>
    <row r="17">
      <c r="A17" s="4" t="inlineStr">
        <is>
          <t>Distribuição de rigidez dianteira</t>
        </is>
      </c>
      <c r="B17" s="21">
        <f>'06_SUSPENSION'!$B$24</f>
        <v/>
      </c>
      <c r="C17" s="10" t="inlineStr">
        <is>
          <t>-</t>
        </is>
      </c>
      <c r="D17" s="10" t="inlineStr">
        <is>
          <t>SUS-208</t>
        </is>
      </c>
    </row>
    <row r="19">
      <c r="A19" s="3" t="inlineStr">
        <is>
          <t>Status de Validação</t>
        </is>
      </c>
    </row>
    <row r="20">
      <c r="A20" s="4" t="inlineStr">
        <is>
          <t>TC-004 (conservação de carga)</t>
        </is>
      </c>
      <c r="B20" s="21">
        <f>'13_VALIDATION'!$B$5</f>
        <v/>
      </c>
      <c r="C20" s="10" t="inlineStr">
        <is>
          <t>-</t>
        </is>
      </c>
      <c r="D20" s="10" t="inlineStr">
        <is>
          <t>-</t>
        </is>
      </c>
    </row>
    <row r="21">
      <c r="A21" s="4" t="inlineStr">
        <is>
          <t>TC-005 (conservação de momento lateral)</t>
        </is>
      </c>
      <c r="B21" s="21">
        <f>'13_VALIDATION'!$B$7</f>
        <v/>
      </c>
      <c r="C21" s="10" t="inlineStr">
        <is>
          <t>-</t>
        </is>
      </c>
      <c r="D21" s="10" t="inlineStr">
        <is>
          <t>-</t>
        </is>
      </c>
    </row>
    <row r="22">
      <c r="A22" s="4" t="inlineStr">
        <is>
          <t>REQ-003 (Tilt Test)</t>
        </is>
      </c>
      <c r="B22" s="21">
        <f>'13_VALIDATION'!$B$19</f>
        <v/>
      </c>
      <c r="C22" s="10" t="inlineStr">
        <is>
          <t>-</t>
        </is>
      </c>
      <c r="D22" s="10" t="inlineStr">
        <is>
          <t>-</t>
        </is>
      </c>
    </row>
    <row r="23">
      <c r="A23" s="4" t="inlineStr">
        <is>
          <t>REQ-004 (curso dianteiro)</t>
        </is>
      </c>
      <c r="B23" s="21">
        <f>'13_VALIDATION'!$B$21</f>
        <v/>
      </c>
      <c r="C23" s="10" t="inlineStr">
        <is>
          <t>-</t>
        </is>
      </c>
      <c r="D23" s="10" t="inlineStr">
        <is>
          <t>-</t>
        </is>
      </c>
    </row>
    <row r="24">
      <c r="A24" s="4" t="inlineStr">
        <is>
          <t>REQ-004 (curso traseiro)</t>
        </is>
      </c>
      <c r="B24" s="21">
        <f>'13_VALIDATION'!$B$22</f>
        <v/>
      </c>
      <c r="C24" s="10" t="inlineStr">
        <is>
          <t>-</t>
        </is>
      </c>
      <c r="D24" s="10" t="inlineStr">
        <is>
          <t>-</t>
        </is>
      </c>
    </row>
    <row r="26">
      <c r="A26" s="3" t="inlineStr">
        <is>
          <t>Governança — Requirements / Targets / Decisions</t>
        </is>
      </c>
    </row>
    <row r="27">
      <c r="A27" s="4" t="inlineStr">
        <is>
          <t>Requirements registrados</t>
        </is>
      </c>
      <c r="B27" s="21">
        <f>COUNTIF('02_REQUIREMENTS'!A:A,"REQ-*")</f>
        <v/>
      </c>
      <c r="C27" s="10" t="inlineStr">
        <is>
          <t>-</t>
        </is>
      </c>
      <c r="D27" s="10" t="inlineStr">
        <is>
          <t>-</t>
        </is>
      </c>
    </row>
    <row r="28">
      <c r="A28" s="4" t="inlineStr">
        <is>
          <t>Targets registrados</t>
        </is>
      </c>
      <c r="B28" s="21">
        <f>COUNTIF('03_TARGETS'!A:A,"TARGET-*")</f>
        <v/>
      </c>
      <c r="C28" s="10" t="inlineStr">
        <is>
          <t>-</t>
        </is>
      </c>
      <c r="D28" s="10" t="inlineStr">
        <is>
          <t>-</t>
        </is>
      </c>
    </row>
    <row r="29">
      <c r="A29" s="4" t="inlineStr">
        <is>
          <t>Targets em OPEN (sem valor real definido)</t>
        </is>
      </c>
      <c r="B29" s="21">
        <f>COUNTIF('03_TARGETS'!D:D,"OPEN")</f>
        <v/>
      </c>
      <c r="C29" s="10" t="inlineStr">
        <is>
          <t>-</t>
        </is>
      </c>
      <c r="D29" s="10" t="inlineStr">
        <is>
          <t>-</t>
        </is>
      </c>
    </row>
    <row r="30">
      <c r="A30" s="4" t="inlineStr">
        <is>
          <t>Decision Records registrados</t>
        </is>
      </c>
      <c r="B30" s="21">
        <f>COUNTIF('04_DECISION_REGISTER'!A:A,"DR-*")</f>
        <v/>
      </c>
      <c r="C30" s="10" t="inlineStr">
        <is>
          <t>-</t>
        </is>
      </c>
      <c r="D30" s="10" t="inlineStr">
        <is>
          <t>-</t>
        </is>
      </c>
    </row>
    <row r="32" ht="30" customHeight="1">
      <c r="A32" s="3" t="inlineStr">
        <is>
          <t>Pneu — dataset TTC PROVISÓRIO (não é o pneu do carro; μ derivado do dataset, não medido)</t>
        </is>
      </c>
    </row>
    <row r="33">
      <c r="A33" s="4" t="inlineStr">
        <is>
          <t>Dataset de pneu (validade formal)</t>
        </is>
      </c>
      <c r="B33" s="21">
        <f>'10_TIRE'!$B$17</f>
        <v/>
      </c>
      <c r="C33" s="10" t="inlineStr">
        <is>
          <t>-</t>
        </is>
      </c>
      <c r="D33" s="10" t="inlineStr">
        <is>
          <t>SUS-501</t>
        </is>
      </c>
    </row>
    <row r="34">
      <c r="A34" s="4" t="inlineStr">
        <is>
          <t>μ efetivo FL (demonstrativo)</t>
        </is>
      </c>
      <c r="B34" s="21">
        <f>'10_TIRE'!$B$31</f>
        <v/>
      </c>
      <c r="C34" s="10" t="inlineStr">
        <is>
          <t>-</t>
        </is>
      </c>
      <c r="D34" s="10" t="inlineStr">
        <is>
          <t>SUS-503</t>
        </is>
      </c>
    </row>
    <row r="35">
      <c r="A35" s="4" t="inlineStr">
        <is>
          <t>μ efetivo FR (demonstrativo)</t>
        </is>
      </c>
      <c r="B35" s="21">
        <f>'10_TIRE'!$C$31</f>
        <v/>
      </c>
      <c r="C35" s="10" t="inlineStr">
        <is>
          <t>-</t>
        </is>
      </c>
      <c r="D35" s="10" t="inlineStr">
        <is>
          <t>SUS-503</t>
        </is>
      </c>
    </row>
    <row r="36">
      <c r="A36" s="4" t="inlineStr">
        <is>
          <t>μ efetivo RL (demonstrativo)</t>
        </is>
      </c>
      <c r="B36" s="21">
        <f>'10_TIRE'!$D$31</f>
        <v/>
      </c>
      <c r="C36" s="10" t="inlineStr">
        <is>
          <t>-</t>
        </is>
      </c>
      <c r="D36" s="10" t="inlineStr">
        <is>
          <t>SUS-503</t>
        </is>
      </c>
    </row>
    <row r="37">
      <c r="A37" s="4" t="inlineStr">
        <is>
          <t>μ efetivo RR (demonstrativo)</t>
        </is>
      </c>
      <c r="B37" s="21">
        <f>'10_TIRE'!$E$31</f>
        <v/>
      </c>
      <c r="C37" s="10" t="inlineStr">
        <is>
          <t>-</t>
        </is>
      </c>
      <c r="D37" s="10" t="inlineStr">
        <is>
          <t>SUS-503</t>
        </is>
      </c>
    </row>
    <row r="38">
      <c r="A38" s="4" t="inlineStr">
        <is>
          <t>Convenção de sinais do pneu</t>
        </is>
      </c>
      <c r="B38" s="22" t="inlineStr">
        <is>
          <t>SAE→ISO (declarada); camber não confirmado</t>
        </is>
      </c>
      <c r="C38" s="10" t="inlineStr">
        <is>
          <t>-</t>
        </is>
      </c>
      <c r="D38" s="10" t="inlineStr">
        <is>
          <t>DR-013</t>
        </is>
      </c>
    </row>
  </sheetData>
  <mergeCells count="7">
    <mergeCell ref="A12:E12"/>
    <mergeCell ref="A26:E26"/>
    <mergeCell ref="A19:E19"/>
    <mergeCell ref="A1:E1"/>
    <mergeCell ref="A32:E32"/>
    <mergeCell ref="A6:E6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55" customWidth="1" min="5" max="5"/>
  </cols>
  <sheetData>
    <row r="1" ht="22" customHeight="1">
      <c r="A1" s="24" t="inlineStr">
        <is>
          <t>15_CHANGELOG</t>
        </is>
      </c>
    </row>
    <row r="3">
      <c r="A3" s="3" t="inlineStr">
        <is>
          <t>Data</t>
        </is>
      </c>
      <c r="B3" s="3" t="inlineStr">
        <is>
          <t>Mudança</t>
        </is>
      </c>
      <c r="C3" s="3" t="inlineStr">
        <is>
          <t>Motivo</t>
        </is>
      </c>
    </row>
    <row r="4" ht="30" customHeight="1">
      <c r="A4" s="12" t="inlineStr">
        <is>
          <t>2026-09</t>
        </is>
      </c>
      <c r="B4" s="12" t="inlineStr">
        <is>
          <t>Migracao da arquitetura de 9 para 16 abas (00_README...15_CHANGELOG)</t>
        </is>
      </c>
      <c r="C4" s="12" t="inlineStr">
        <is>
          <t>Sistema evoluiu de 'planilha de suspensao' para sistema de engenharia/memoria institucional da Mecanica</t>
        </is>
      </c>
    </row>
    <row r="5" ht="30" customHeight="1">
      <c r="A5" s="12" t="inlineStr">
        <is>
          <t>2026-09</t>
        </is>
      </c>
      <c r="B5" s="12" t="inlineStr">
        <is>
          <t>Abas renomeadas (02_VEHICLE-&gt;05_VEHICLE, 03_SUSPENSION-&gt;06_SUSPENSION, etc.) via rename nativo do Excel</t>
        </is>
      </c>
      <c r="C5" s="12" t="inlineStr">
        <is>
          <t>Evitar reescrita manual de formulas - Excel atualiza referencias automaticamente ao renomear aba</t>
        </is>
      </c>
    </row>
    <row r="6" ht="30" customHeight="1">
      <c r="A6" s="12" t="inlineStr">
        <is>
          <t>2026-09</t>
        </is>
      </c>
      <c r="B6" s="12" t="inlineStr">
        <is>
          <t>SUS-103 (Milliken two-spring) cross-referenciado contra Chalmers/Sampo</t>
        </is>
      </c>
      <c r="C6" s="12" t="inlineStr">
        <is>
          <t>Transcricao conferida termo a termo contra fonte externa publicada - identica, sem divergencia</t>
        </is>
      </c>
    </row>
    <row r="7" ht="30" customHeight="1">
      <c r="A7" s="12" t="inlineStr">
        <is>
          <t>2026-09</t>
        </is>
      </c>
      <c r="B7" s="12" t="inlineStr">
        <is>
          <t>Wheel Rate do T09 corrigido de 21950 N/m (ambos os eixos) para 16112.23 F / 18418.2 R N/m</t>
        </is>
      </c>
      <c r="C7" s="12" t="inlineStr">
        <is>
          <t>Valor antigo vinha do spec sheet resumido (impreciso); planilha de calculo detalhada do T09 e mais confiavel</t>
        </is>
      </c>
    </row>
    <row r="8" ht="30" customHeight="1">
      <c r="A8" s="12" t="inlineStr">
        <is>
          <t>2026-09</t>
        </is>
      </c>
      <c r="B8" s="12" t="inlineStr">
        <is>
          <t>Natural Frequency reclassificada de NOT_VALIDATED para PASS no T09 Reference Case</t>
        </is>
      </c>
      <c r="C8" s="12" t="inlineStr">
        <is>
          <t>Massa suspensa real do T09 (nao a nao-suspensa) e suficiente para a formula SUS-205; erro de entendimento anterior corrigido</t>
        </is>
      </c>
    </row>
    <row r="9" ht="95" customHeight="1">
      <c r="A9" s="12" t="inlineStr">
        <is>
          <t>2026-10</t>
        </is>
      </c>
      <c r="B9" s="12" t="inlineStr">
        <is>
          <t>Decision Register consolidado: mantidas DR-001 a DR-009 da planilha (mais completas: Why/Constraints/Owner); adicionadas colunas Status e Origem; incluidas DR-010 (Design Mode explicito) e DR-011 (Tire como REFERENCE), vindas so do Guide.</t>
        </is>
      </c>
      <c r="C9" s="12" t="inlineStr">
        <is>
          <t>Planilha e Guide tinham versoes diferentes. Guide DR-008 (Tire) renumerado para DR-011 porque DR-008 da planilha (sem bridge Python-Excel) e outra decisao; Guide DR-009 ("solver interno nao e V1") tratado como a mesma decisao da DR-009 da planilha (Python-only, inicio da V2). Guide a alinhar depois.</t>
        </is>
      </c>
    </row>
    <row r="10" ht="95" customHeight="1">
      <c r="A10" s="12" t="inlineStr">
        <is>
          <t>2026-10</t>
        </is>
      </c>
      <c r="B10" s="12" t="inlineStr">
        <is>
          <t>V1.0: versionamento dos artefatos (Standard, Arquitetura, Data Contract, suspension_model, kinematics_model e testes, planilha). README: versao V1.0 e correcao do aviso de Anti-dive/squat (ja implementados com placeholders); 07_KINEMATICS: 11/11; referencias de arquivo atualizadas para *_V1_0.</t>
        </is>
      </c>
      <c r="C10" s="12" t="inlineStr">
        <is>
          <t>Regra de versao: V1.0 -&gt; V1.1 a cada pequena implementacao. Detalhes e divergencias abertas em registro-de-versoes-V1.0.md. Nenhuma formula foi alterada.</t>
        </is>
      </c>
    </row>
    <row r="11" ht="100" customHeight="1">
      <c r="A11" s="12" t="inlineStr">
        <is>
          <t>2026-10</t>
        </is>
      </c>
      <c r="B11" s="12" t="inlineStr">
        <is>
          <t>V2.0: Kinematics (solver 3D + schema de hardpoints, Python), validacoes de entrada e aviso Fz&lt;0 (Python). Planilha: 07_KINEMATICS ganha blocos de resultados do solver (N/A) e schema; DR-012; README/Setup atualizados. Nenhuma formula alterada.</t>
        </is>
      </c>
      <c r="C11" s="12" t="inlineStr">
        <is>
          <t>Resultados do solver sao cross-check e so entram na planilha com hardpoints reais. As propostas (IC lateral cinematico, %AD com sinal) NAO foram aplicadas as formulas de 06_SUSPENSION. Detalhes em registro-de-versoes-V2.0.md.</t>
        </is>
      </c>
    </row>
    <row r="12" ht="100" customHeight="1">
      <c r="A12" s="12" t="inlineStr">
        <is>
          <t>2026-10</t>
        </is>
      </c>
      <c r="B12" s="12" t="inlineStr">
        <is>
          <t>V2.1 PARCIAL: 13_VALIDATION ganha REQ-001 (wheelbase &gt;= 1525 mm) e REQ-002 (razao de bitolas &gt;= 0,75), linhas 28-33; comentario de proveniencia em REQ-003 (B19); README e nota em 04.</t>
        </is>
      </c>
      <c r="C12" s="12" t="inlineStr">
        <is>
          <t>Somente adicoes: nenhuma das 84 formulas anteriores foi alterada. REQ-004 e demais resultados dependentes de placeholders NAO foram alterados (aguardam a Decisao A, EDR-025). Mapa de dependencias: placeholder-dependency-map-V2.1.csv.</t>
        </is>
      </c>
    </row>
    <row r="13">
      <c r="A13" s="12" t="inlineStr">
        <is>
          <t>2026-10</t>
        </is>
      </c>
      <c r="B13" s="12" t="inlineStr">
        <is>
          <t>V2.2: 10_TIRE implementada (SUS-501 Fy, SUS-502 Fx, SUS-503 mu efetivo; PAC2002/MF 5.2 nivel 2, combinado) a partir de .tir TTC PROVISORIO; entradas por canto (Fz de 09_LOADS; alpha/gamma/kappa demonstrativos), faixa do dataset com N/A, caso VERIF. 13_VALIDATION linhas 35-44; 14_DASHBOARD linhas 32-38; 04_DECISION_REGISTER DR-013 (e texto de DR-011 E15); 01_SETUP Tire REV; README. Python: tire_model_V2_2.py + test_tire_model_V2_2.py.</t>
        </is>
      </c>
      <c r="C13" s="12" t="inlineStr">
        <is>
          <t>Pedido do usuario com dataset TTC para desenvolvimento. Somente adicoes + substituicao da aba 10_TIRE: as 88 formulas anteriores nao foram alteradas. Impacto: nenhum resultado existente muda. Validation: Python 34/34 (mutacao 17/17); Excel x Python (test_workbook_V2_2.py). NOT_VALIDATED fisicamente (sem OptimumTire). Revision: T-REV-A. Pendentes: confirmar convencao de sinais e espelhamento; dataset real; EDR-025/035/036; fichas SUS-501..503 do Standard devem refletir nivel 2 e convencao. Autor: nao registrado.</t>
        </is>
      </c>
    </row>
    <row r="14">
      <c r="A14" s="12" t="inlineStr">
        <is>
          <t>2026-10</t>
        </is>
      </c>
      <c r="B14" s="12" t="inlineStr">
        <is>
          <t>V2.3: verificacao das equacoes do pneu contra 2 codigos de terceiros (Racer CalcMF52; MFeval ramo MF5.2) em 3000 pontos (dif &lt;= 3,4e-4 N); novo metadado em 10_TIRE; texto de DR-013, 13_VALIDATION l.44 e README ajustados. Nenhuma formula alterada em relacao a V2.2.</t>
        </is>
      </c>
      <c r="C14" s="12" t="inlineStr">
        <is>
          <t>Pedido do usuario: encontrar fonte primaria e validar as equacoes. Fonte primaria (livro) nao acessivel; usadas fontes de terceiros. Impacto: apenas texto/metadado. Validation: test_tire_oracles_V2_2.py 5/5; Excel x Python mantido (test_workbook). Pendente: livro (Pacejka), OptimumTire e medicao. Revision: T-REV-A. Autor: nao registrado.</t>
        </is>
      </c>
    </row>
    <row r="15">
      <c r="A15" s="12" t="inlineStr">
        <is>
          <t>2026-10</t>
        </is>
      </c>
      <c r="B15" s="12" t="inlineStr">
        <is>
          <t>V2.4: sistema de eixos do arquivo declarado (SAE_CALSPAN, dados do TTC) com transformacao explicita para ISO em 10_TIRE (s_alpha, s_Fy, s_gamma; alpha_arq=-alpha, Fy_ISO=-Fy_arq, gamma_arq=-gamma); eixo desconhecido invalida o dataset; retirada a afirmacao 'compativel com ISO' (nao discriminava SAE de ISO). Fy muda ~3% a 4 graus de deriva, empuxo de camber ~30% a 3 graus e o offset de Fy em zero slip inverte de sinal; Fx so muda com alpha != 0.</t>
        </is>
      </c>
      <c r="C15" s="12" t="inlineStr">
        <is>
          <t>Pedido do usuario apos informar que o TTC usa SAE e que os dados foram baixados direto do TTC. Impacto: Fy/Fx/mu de 10_TIRE, 13_VALIDATION l.37-39 (referencia Python recalculada) e dashboard. Validation: tire_model_V2_4 43/43, oraculos 5/5, mutacao 23/23, Excel x Python (test_workbook_V2_4). Pendente: definicao de IA do TTC (sinal do camber) e comparacao com OptimumTire. Revision: T-REV-A. Autor: nao registrado.</t>
        </is>
      </c>
    </row>
    <row r="16">
      <c r="A16" s="12" t="inlineStr">
        <is>
          <t>2026-10</t>
        </is>
      </c>
      <c r="B16" s="12" t="inlineStr">
        <is>
          <t>V2.5: revisao metodologica contra Milliken (RCVD), Gillespie, Seward e Pacejka. Pneu em serie na frequencia natural e na rigidez de rolagem (K_T provisorio do .tir; 06_SUSPENSION l.46-52, B22/B23, B32/B33; 11_DESIGN B8/B9/B20); SUS-103 com termo gravitacional e CG suspenso em a_s (09_LOADS B18-B21; 13_VALIDATION B6); massa suspensa por eixo (05_VEHICLE l.25-27; 06 B28/B29); anti-dive/anti-squat com sinal e ponto de reacao do carro (freio no cubo, motor no chassi; 06 B39-B41, 07 B11/B13/B14); Ky com um lambda_Fz0 (10_TIRE).</t>
        </is>
      </c>
      <c r="C16" s="12" t="inlineStr">
        <is>
          <t>Pedido do usuario (2026-10-19): seguir a literatura, principalmente o Milliken. EDR-045 a EDR-049. Registro celula a celula: docs/registro-de-versoes-V2_5.md. Validation: suspensao 54/54 (inclui exemplos da Milliken p. 683, p. 592, Tab. 16.3, Seward 4.1, Gillespie 5-8), Excel x Python (test_workbook e test_workbook_suspensao). NOT_VALIDATED fisicamente. Autor: nao registrado.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2026-09-25T16:11:23Z</dcterms:created>
  <dcterms:modified xsi:type="dcterms:W3CDTF">2026-10-19T06:17:42Z</dcterms:modified>
</cp:coreProperties>
</file>